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3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4.xml.rels" ContentType="application/vnd.openxmlformats-package.relationships+xml"/>
  <Override PartName="/xl/pivotTables/_rels/pivotTable15.xml.rels" ContentType="application/vnd.openxmlformats-package.relationships+xml"/>
  <Override PartName="/xl/pivotTables/_rels/pivotTable13.xml.rels" ContentType="application/vnd.openxmlformats-package.relationships+xml"/>
  <Override PartName="/xl/pivotTables/_rels/pivotTable12.xml.rels" ContentType="application/vnd.openxmlformats-package.relationships+xml"/>
  <Override PartName="/xl/pivotTables/_rels/pivotTable9.xml.rels" ContentType="application/vnd.openxmlformats-package.relationships+xml"/>
  <Override PartName="/xl/pivotTables/_rels/pivotTable16.xml.rels" ContentType="application/vnd.openxmlformats-package.relationships+xml"/>
  <Override PartName="/xl/pivotTables/_rels/pivotTable11.xml.rels" ContentType="application/vnd.openxmlformats-package.relationships+xml"/>
  <Override PartName="/xl/pivotTables/_rels/pivotTable8.xml.rels" ContentType="application/vnd.openxmlformats-package.relationships+xml"/>
  <Override PartName="/xl/pivotTables/_rels/pivotTable10.xml.rels" ContentType="application/vnd.openxmlformats-package.relationships+xml"/>
  <Override PartName="/xl/pivotTables/_rels/pivotTable7.xml.rels" ContentType="application/vnd.openxmlformats-package.relationships+xml"/>
  <Override PartName="/xl/pivotTables/_rels/pivotTable19.xml.rels" ContentType="application/vnd.openxmlformats-package.relationships+xml"/>
  <Override PartName="/xl/pivotTables/_rels/pivotTable1.xml.rels" ContentType="application/vnd.openxmlformats-package.relationships+xml"/>
  <Override PartName="/xl/pivotTables/_rels/pivotTable20.xml.rels" ContentType="application/vnd.openxmlformats-package.relationships+xml"/>
  <Override PartName="/xl/pivotTables/_rels/pivotTable18.xml.rels" ContentType="application/vnd.openxmlformats-package.relationships+xml"/>
  <Override PartName="/xl/pivotTables/_rels/pivotTable17.xml.rels" ContentType="application/vnd.openxmlformats-package.relationships+xml"/>
  <Override PartName="/xl/pivotTables/pivotTable15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5.xml" ContentType="application/vnd.openxmlformats-officedocument.spreadsheetml.pivotTabl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à 500 individus" sheetId="1" state="visible" r:id="rId3"/>
    <sheet name="Population total" sheetId="2" state="visible" r:id="rId4"/>
    <sheet name="Population des hommes" sheetId="3" state="visible" r:id="rId5"/>
    <sheet name="Population des femmes" sheetId="4" state="visible" r:id="rId6"/>
    <sheet name="Population masculine et féminin" sheetId="5" state="visible" r:id="rId7"/>
    <sheet name=" Indépendance des variables" sheetId="6" state="visible" r:id="rId8"/>
    <sheet name="Nombre de sexe par tranche age " sheetId="7" state="visible" r:id="rId9"/>
    <sheet name="Nombre de personne par sexe" sheetId="8" state="visible" r:id="rId10"/>
    <sheet name="Nombre d'avis par sexe " sheetId="9" state="visible" r:id="rId11"/>
    <sheet name="Homme" sheetId="10" state="visible" r:id="rId12"/>
    <sheet name="Femme" sheetId="11" state="visible" r:id="rId13"/>
    <sheet name="Formules" sheetId="12" state="hidden" r:id="rId14"/>
    <sheet name="Feuil3" sheetId="13" state="hidden" r:id="rId15"/>
  </sheets>
  <calcPr iterateCount="100" refMode="A1" iterate="false" iterateDelta="0.0001"/>
  <pivotCaches>
    <pivotCache cacheId="1" r:id="rId17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<sst xmlns="http://schemas.openxmlformats.org/spreadsheetml/2006/main" count="1229" uniqueCount="73">
  <si>
    <t xml:space="preserve">N°</t>
  </si>
  <si>
    <t xml:space="preserve">Age </t>
  </si>
  <si>
    <t xml:space="preserve">Sexe</t>
  </si>
  <si>
    <t xml:space="preserve">Sexe_Libelle</t>
  </si>
  <si>
    <t xml:space="preserve">Avis </t>
  </si>
  <si>
    <t xml:space="preserve">Avis_Libellé</t>
  </si>
  <si>
    <t xml:space="preserve">Femme</t>
  </si>
  <si>
    <t xml:space="preserve">Défavorable</t>
  </si>
  <si>
    <t xml:space="preserve"> </t>
  </si>
  <si>
    <t xml:space="preserve">Amplitute des classes </t>
  </si>
  <si>
    <t xml:space="preserve">Ne se prononce pas</t>
  </si>
  <si>
    <t xml:space="preserve">Favorable</t>
  </si>
  <si>
    <t xml:space="preserve">K = nombre de classe </t>
  </si>
  <si>
    <t xml:space="preserve">Etendu</t>
  </si>
  <si>
    <t xml:space="preserve">Amplitude</t>
  </si>
  <si>
    <t xml:space="preserve">Homme</t>
  </si>
  <si>
    <t xml:space="preserve">Repartion de l'avis des individus selon l'age </t>
  </si>
  <si>
    <t xml:space="preserve">Données</t>
  </si>
  <si>
    <t xml:space="preserve">Total Avis_Libellé**</t>
  </si>
  <si>
    <t xml:space="preserve">Total Somme - Avis_Libellé</t>
  </si>
  <si>
    <t xml:space="preserve">Total Résultat</t>
  </si>
  <si>
    <t xml:space="preserve">Repartition des individus selon le sexe</t>
  </si>
  <si>
    <t xml:space="preserve">Sexe_Libelle**</t>
  </si>
  <si>
    <t xml:space="preserve">Somme - Sexe_Libelle</t>
  </si>
  <si>
    <t xml:space="preserve">Ni</t>
  </si>
  <si>
    <t xml:space="preserve">Fi%</t>
  </si>
  <si>
    <t xml:space="preserve">Total général</t>
  </si>
  <si>
    <t xml:space="preserve">Repartion des individus selon l'age</t>
  </si>
  <si>
    <t xml:space="preserve">Age ****</t>
  </si>
  <si>
    <t xml:space="preserve">Somme - Age </t>
  </si>
  <si>
    <t xml:space="preserve">Densite</t>
  </si>
  <si>
    <t xml:space="preserve">Ci</t>
  </si>
  <si>
    <t xml:space="preserve">NiCi</t>
  </si>
  <si>
    <t xml:space="preserve">NiCi^2</t>
  </si>
  <si>
    <t xml:space="preserve">Ecart-type </t>
  </si>
  <si>
    <t xml:space="preserve">Variance </t>
  </si>
  <si>
    <t xml:space="preserve">Repartion des hommes selon leur age</t>
  </si>
  <si>
    <t xml:space="preserve">Total Age ****</t>
  </si>
  <si>
    <t xml:space="preserve">Total Somme - Age </t>
  </si>
  <si>
    <t xml:space="preserve">Age</t>
  </si>
  <si>
    <t xml:space="preserve">[30;51[</t>
  </si>
  <si>
    <t xml:space="preserve">Effectif </t>
  </si>
  <si>
    <t xml:space="preserve">Age median </t>
  </si>
  <si>
    <t xml:space="preserve">Q1</t>
  </si>
  <si>
    <t xml:space="preserve">Q2</t>
  </si>
  <si>
    <t xml:space="preserve">C.V</t>
  </si>
  <si>
    <t xml:space="preserve">Intervalle moyens </t>
  </si>
  <si>
    <t xml:space="preserve">%</t>
  </si>
  <si>
    <t xml:space="preserve">Moyenne </t>
  </si>
  <si>
    <t xml:space="preserve">Repartion de l'avis des individus selon l'age</t>
  </si>
  <si>
    <t xml:space="preserve">Nombre de Avis </t>
  </si>
  <si>
    <t xml:space="preserve">Repartion des homme selon leur age et leur avis </t>
  </si>
  <si>
    <t xml:space="preserve">[30;32[</t>
  </si>
  <si>
    <t xml:space="preserve">[32;34[</t>
  </si>
  <si>
    <t xml:space="preserve">[34;36[</t>
  </si>
  <si>
    <t xml:space="preserve">[36;38[</t>
  </si>
  <si>
    <t xml:space="preserve">[38;40[</t>
  </si>
  <si>
    <t xml:space="preserve">[40;42[</t>
  </si>
  <si>
    <t xml:space="preserve">[42;44[</t>
  </si>
  <si>
    <t xml:space="preserve">[44;46[</t>
  </si>
  <si>
    <t xml:space="preserve">[46;48[</t>
  </si>
  <si>
    <t xml:space="preserve">[48;50[</t>
  </si>
  <si>
    <t xml:space="preserve">Repartion de l'avis des hommes selon l'age </t>
  </si>
  <si>
    <t xml:space="preserve">Repartion des femmes selon leur age</t>
  </si>
  <si>
    <t xml:space="preserve">[30;50[</t>
  </si>
  <si>
    <t xml:space="preserve">[34;45[</t>
  </si>
  <si>
    <t xml:space="preserve">Repartion des femme selon leur age et leur avis </t>
  </si>
  <si>
    <t xml:space="preserve">Nombre de Sexe_Libelle</t>
  </si>
  <si>
    <t xml:space="preserve">Colonne1</t>
  </si>
  <si>
    <t xml:space="preserve">Colonne2</t>
  </si>
  <si>
    <t xml:space="preserve">[Q;Q2[</t>
  </si>
  <si>
    <t xml:space="preserve">Age moyen</t>
  </si>
  <si>
    <t xml:space="preserve">Nombre de Avis_Libellé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</si>
</sst>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 %"/>
    <numFmt numFmtId="166" formatCode="0.00%"/>
    <numFmt numFmtId="167" formatCode="0\ %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9"/>
      <color rgb="FF595959"/>
      <name val="Calibri"/>
      <family val="2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D9D9D9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>
        <color rgb="FF999999"/>
      </left>
      <right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thin">
        <color rgb="FF999999"/>
      </top>
      <bottom/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>
        <color rgb="FF999999"/>
      </left>
      <right/>
      <top style="thin">
        <color rgb="FFFFFFFF"/>
      </top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/>
      <right/>
      <top style="thin">
        <color rgb="FF999999"/>
      </top>
      <bottom style="thin">
        <color rgb="FF999999"/>
      </bottom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3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8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F7530"/>
      <rgbColor rgb="FF800080"/>
      <rgbColor rgb="FF008080"/>
      <rgbColor rgb="FFC0C0C0"/>
      <rgbColor rgb="FF4F81BD"/>
      <rgbColor rgb="FF95B3D7"/>
      <rgbColor rgb="FFC0504D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3D5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99999"/>
      <rgbColor rgb="FF003366"/>
      <rgbColor rgb="FF339966"/>
      <rgbColor rgb="FF003300"/>
      <rgbColor rgb="FF4D3B62"/>
      <rgbColor rgb="FF772C2A"/>
      <rgbColor rgb="FF595959"/>
      <rgbColor rgb="FF2C4D7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<Relationship Id="rId1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Repartion de l'age selon l'avis des individus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3458810309713"/>
          <c:y val="0.214210832847991"/>
          <c:w val="0.457054568438795"/>
          <c:h val="0.76156086196855"/>
        </c:manualLayout>
      </c:layout>
      <c:pieChart>
        <c:varyColors val="1"/>
        <c:ser>
          <c:idx val="0"/>
          <c:order val="0"/>
          <c:tx>
            <c:strRef>
              <c:f>'Population total'!$B$5:$B$7</c:f>
              <c:strCache>
                <c:ptCount val="1"/>
                <c:pt idx="0">
                  <c:v>Données Total Avis_Libellé**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5f753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d3b6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total'!$B$8:$B$18</c:f>
              <c:numCache>
                <c:formatCode>General</c:formatCode>
                <c:ptCount val="11"/>
              </c:numCache>
            </c:numRef>
          </c:val>
        </c:ser>
        <c:ser>
          <c:idx val="1"/>
          <c:order val="1"/>
          <c:tx>
            <c:strRef>
              <c:f>'Population total'!$C$5:$C$7</c:f>
              <c:strCache>
                <c:ptCount val="1"/>
                <c:pt idx="0">
                  <c:v>Total Somme - Avis_Libellé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5f753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d3b6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total'!$C$8:$C$18</c:f>
              <c:numCache>
                <c:formatCode>General</c:formatCode>
                <c:ptCount val="11"/>
              </c:numCache>
            </c:numRef>
          </c:val>
        </c:ser>
        <c:ser>
          <c:idx val="2"/>
          <c:order val="2"/>
          <c:tx>
            <c:strRef>
              <c:f>'Population total'!$D$5:$D$7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2c4d75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5f753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d3b62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General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total'!$D$8:$D$18</c:f>
              <c:numCache>
                <c:formatCode>General</c:formatCode>
                <c:ptCount val="11"/>
              </c:numCache>
            </c:numRef>
          </c:val>
        </c:ser>
        <c:ser>
          <c:idx val="3"/>
          <c:order val="3"/>
          <c:tx>
            <c:strRef>
              <c:f>'Population total'!$E$5:$E$7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total'!$E$8:$E$18</c:f>
              <c:numCache>
                <c:formatCode>General</c:formatCode>
                <c:ptCount val="11"/>
              </c:numCache>
            </c:numRef>
          </c:val>
        </c:ser>
        <c:ser>
          <c:idx val="4"/>
          <c:order val="4"/>
          <c:tx>
            <c:strRef>
              <c:f>'Population total'!$F$5:$F$7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total'!$F$8:$F$18</c:f>
              <c:numCache>
                <c:formatCode>General</c:formatCode>
                <c:ptCount val="11"/>
              </c:numCache>
            </c:numRef>
          </c:val>
        </c:ser>
        <c:ser>
          <c:idx val="5"/>
          <c:order val="5"/>
          <c:tx>
            <c:strRef>
              <c:f>'Population total'!$G$5:$G$7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8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9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5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8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total'!$A$8:$A$18</c:f>
              <c:strCache>
                <c:ptCount val="11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'Population total'!$G$8:$G$18</c:f>
              <c:numCache>
                <c:formatCode>General</c:formatCode>
                <c:ptCount val="11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Repartition des individus selon le sexe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0%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'Population total'!$E$24:$E$25</c:f>
              <c:strCache>
                <c:ptCount val="2"/>
                <c:pt idx="0">
                  <c:v>Femme</c:v>
                </c:pt>
                <c:pt idx="1">
                  <c:v>Homme</c:v>
                </c:pt>
              </c:strCache>
            </c:strRef>
          </c:cat>
          <c:val>
            <c:numRef>
              <c:f>'Population total'!$G$24:$G$25</c:f>
              <c:numCache>
                <c:formatCode>0.00\ %</c:formatCode>
                <c:ptCount val="2"/>
                <c:pt idx="0">
                  <c:v>0.49</c:v>
                </c:pt>
                <c:pt idx="1">
                  <c:v>0.51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Repartition des individus selon le sexe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'Population total'!$E$24:$E$25</c:f>
              <c:strCache>
                <c:ptCount val="2"/>
                <c:pt idx="0">
                  <c:v>Femme</c:v>
                </c:pt>
                <c:pt idx="1">
                  <c:v>Homme</c:v>
                </c:pt>
              </c:strCache>
            </c:strRef>
          </c:cat>
          <c:val>
            <c:numRef>
              <c:f>'Population total'!$F$24:$F$25</c:f>
              <c:numCache>
                <c:formatCode>General</c:formatCode>
                <c:ptCount val="2"/>
                <c:pt idx="0">
                  <c:v>245</c:v>
                </c:pt>
                <c:pt idx="1">
                  <c:v>255</c:v>
                </c:pt>
              </c:numCache>
            </c:numRef>
          </c:val>
        </c:ser>
        <c:gapWidth val="219"/>
        <c:overlap val="-27"/>
        <c:axId val="46061309"/>
        <c:axId val="3305652"/>
      </c:barChart>
      <c:catAx>
        <c:axId val="460613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05652"/>
        <c:crosses val="autoZero"/>
        <c:auto val="1"/>
        <c:lblAlgn val="ctr"/>
        <c:lblOffset val="100"/>
        <c:noMultiLvlLbl val="0"/>
      </c:catAx>
      <c:valAx>
        <c:axId val="33056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60613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Repartition des individus selon l'age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'Nombre de sexe par tranche age '!$B$3:$B$4</c:f>
              <c:strCache>
                <c:ptCount val="1"/>
                <c:pt idx="0">
                  <c:v>Sexe_Libelle Total Résultat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de sexe par tranche age '!$A$5:$A$15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'Nombre de sexe par tranche age '!$B$5:$B$15</c:f>
              <c:numCache>
                <c:formatCode>General</c:formatCode>
                <c:ptCount val="11"/>
              </c:numCache>
            </c:numRef>
          </c:val>
        </c:ser>
        <c:ser>
          <c:idx val="1"/>
          <c:order val="1"/>
          <c:tx>
            <c:strRef>
              <c:f>'Nombre de sexe par tranche age '!$C$3:$C$4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de sexe par tranche age '!$A$5:$A$15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'Nombre de sexe par tranche age '!$C$5:$C$15</c:f>
              <c:numCache>
                <c:formatCode>General</c:formatCode>
                <c:ptCount val="11"/>
              </c:numCache>
            </c:numRef>
          </c:val>
        </c:ser>
        <c:gapWidth val="219"/>
        <c:overlap val="-27"/>
        <c:axId val="19199175"/>
        <c:axId val="9537459"/>
      </c:barChart>
      <c:catAx>
        <c:axId val="191991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537459"/>
        <c:crosses val="autoZero"/>
        <c:auto val="1"/>
        <c:lblAlgn val="ctr"/>
        <c:lblOffset val="100"/>
        <c:noMultiLvlLbl val="0"/>
      </c:catAx>
      <c:valAx>
        <c:axId val="95374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199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Repartition des individus selon le sexe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'Nombre de personne par sexe'!$B$3</c:f>
              <c:strCache>
                <c:ptCount val="1"/>
                <c:pt idx="0">
                  <c:v>Nombre de Sexe_Libelle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de personne par sexe'!$A$4:$A$6</c:f>
              <c:strCache>
                <c:ptCount val="3"/>
                <c:pt idx="0">
                  <c:v>Femme</c:v>
                </c:pt>
                <c:pt idx="1">
                  <c:v>Homme</c:v>
                </c:pt>
                <c:pt idx="2">
                  <c:v>Total Résultat</c:v>
                </c:pt>
              </c:strCache>
            </c:strRef>
          </c:cat>
          <c:val>
            <c:numRef>
              <c:f>'Nombre de personne par sexe'!$B$4:$B$6</c:f>
              <c:numCache>
                <c:formatCode>General</c:formatCode>
                <c:ptCount val="3"/>
                <c:pt idx="0">
                  <c:v>245</c:v>
                </c:pt>
                <c:pt idx="1">
                  <c:v>255</c:v>
                </c:pt>
                <c:pt idx="2">
                  <c:v>500</c:v>
                </c:pt>
              </c:numCache>
            </c:numRef>
          </c:val>
        </c:ser>
        <c:gapWidth val="219"/>
        <c:overlap val="-27"/>
        <c:axId val="18093233"/>
        <c:axId val="33007708"/>
      </c:barChart>
      <c:catAx>
        <c:axId val="180932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007708"/>
        <c:crosses val="autoZero"/>
        <c:auto val="1"/>
        <c:lblAlgn val="ctr"/>
        <c:lblOffset val="100"/>
        <c:noMultiLvlLbl val="0"/>
      </c:catAx>
      <c:valAx>
        <c:axId val="330077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0932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fr-FR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fr-FR" sz="1400" spc="-1" strike="noStrike">
                <a:solidFill>
                  <a:srgbClr val="595959"/>
                </a:solidFill>
                <a:latin typeface="Calibri"/>
              </a:rPr>
              <a:t>Repartition des individus selon leur avis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'Nombre d''avis par sexe '!$B$3:$B$4</c:f>
              <c:strCache>
                <c:ptCount val="1"/>
                <c:pt idx="0">
                  <c:v>Avis_Libellé Défavorable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d''avis par sexe '!$A$5:$A$7</c:f>
              <c:strCache>
                <c:ptCount val="3"/>
                <c:pt idx="0">
                  <c:v>Femme</c:v>
                </c:pt>
                <c:pt idx="1">
                  <c:v>Homme</c:v>
                </c:pt>
                <c:pt idx="2">
                  <c:v>Total Résultat</c:v>
                </c:pt>
              </c:strCache>
            </c:strRef>
          </c:cat>
          <c:val>
            <c:numRef>
              <c:f>'Nombre d''avis par sexe '!$B$5:$B$7</c:f>
              <c:numCache>
                <c:formatCode>General</c:formatCode>
                <c:ptCount val="3"/>
                <c:pt idx="0">
                  <c:v>89</c:v>
                </c:pt>
                <c:pt idx="1">
                  <c:v>78</c:v>
                </c:pt>
                <c:pt idx="2">
                  <c:v>167</c:v>
                </c:pt>
              </c:numCache>
            </c:numRef>
          </c:val>
        </c:ser>
        <c:ser>
          <c:idx val="1"/>
          <c:order val="1"/>
          <c:tx>
            <c:strRef>
              <c:f>'Nombre d''avis par sexe '!$C$3:$C$4</c:f>
              <c:strCache>
                <c:ptCount val="1"/>
                <c:pt idx="0">
                  <c:v>Favorable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d''avis par sexe '!$A$5:$A$7</c:f>
              <c:strCache>
                <c:ptCount val="3"/>
                <c:pt idx="0">
                  <c:v>Femme</c:v>
                </c:pt>
                <c:pt idx="1">
                  <c:v>Homme</c:v>
                </c:pt>
                <c:pt idx="2">
                  <c:v>Total Résultat</c:v>
                </c:pt>
              </c:strCache>
            </c:strRef>
          </c:cat>
          <c:val>
            <c:numRef>
              <c:f>'Nombre d''avis par sexe '!$C$5:$C$7</c:f>
              <c:numCache>
                <c:formatCode>General</c:formatCode>
                <c:ptCount val="3"/>
                <c:pt idx="0">
                  <c:v>84</c:v>
                </c:pt>
                <c:pt idx="1">
                  <c:v>86</c:v>
                </c:pt>
                <c:pt idx="2">
                  <c:v>170</c:v>
                </c:pt>
              </c:numCache>
            </c:numRef>
          </c:val>
        </c:ser>
        <c:ser>
          <c:idx val="2"/>
          <c:order val="2"/>
          <c:tx>
            <c:strRef>
              <c:f>'Nombre d''avis par sexe '!$D$3:$D$4</c:f>
              <c:strCache>
                <c:ptCount val="1"/>
                <c:pt idx="0">
                  <c:v>Ne se prononce pas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'Nombre d''avis par sexe '!$A$5:$A$7</c:f>
              <c:strCache>
                <c:ptCount val="3"/>
                <c:pt idx="0">
                  <c:v>Femme</c:v>
                </c:pt>
                <c:pt idx="1">
                  <c:v>Homme</c:v>
                </c:pt>
                <c:pt idx="2">
                  <c:v>Total Résultat</c:v>
                </c:pt>
              </c:strCache>
            </c:strRef>
          </c:cat>
          <c:val>
            <c:numRef>
              <c:f>'Nombre d''avis par sexe '!$D$5:$D$7</c:f>
              <c:numCache>
                <c:formatCode>General</c:formatCode>
                <c:ptCount val="3"/>
                <c:pt idx="0">
                  <c:v>72</c:v>
                </c:pt>
                <c:pt idx="1">
                  <c:v>91</c:v>
                </c:pt>
                <c:pt idx="2">
                  <c:v>163</c:v>
                </c:pt>
              </c:numCache>
            </c:numRef>
          </c:val>
        </c:ser>
        <c:gapWidth val="219"/>
        <c:overlap val="-27"/>
        <c:axId val="36723401"/>
        <c:axId val="54100190"/>
      </c:barChart>
      <c:catAx>
        <c:axId val="367234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100190"/>
        <c:crosses val="autoZero"/>
        <c:auto val="1"/>
        <c:lblAlgn val="ctr"/>
        <c:lblOffset val="100"/>
        <c:noMultiLvlLbl val="0"/>
      </c:catAx>
      <c:valAx>
        <c:axId val="541001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723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Homme!$B$3:$B$4</c:f>
              <c:strCache>
                <c:ptCount val="1"/>
                <c:pt idx="0">
                  <c:v>Avis_Libellé Défavorable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Homme!$A$5:$A$6</c:f>
              <c:strCache>
                <c:ptCount val="2"/>
                <c:pt idx="0">
                  <c:v>Homme</c:v>
                </c:pt>
                <c:pt idx="1">
                  <c:v>Total Résultat</c:v>
                </c:pt>
              </c:strCache>
            </c:strRef>
          </c:cat>
          <c:val>
            <c:numRef>
              <c:f>Homme!$B$5:$B$6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val>
        </c:ser>
        <c:ser>
          <c:idx val="1"/>
          <c:order val="1"/>
          <c:tx>
            <c:strRef>
              <c:f>Homme!$C$3:$C$4</c:f>
              <c:strCache>
                <c:ptCount val="1"/>
                <c:pt idx="0">
                  <c:v>Favorable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Homme!$A$5:$A$6</c:f>
              <c:strCache>
                <c:ptCount val="2"/>
                <c:pt idx="0">
                  <c:v>Homme</c:v>
                </c:pt>
                <c:pt idx="1">
                  <c:v>Total Résultat</c:v>
                </c:pt>
              </c:strCache>
            </c:strRef>
          </c:cat>
          <c:val>
            <c:numRef>
              <c:f>Homme!$C$5:$C$6</c:f>
              <c:numCache>
                <c:formatCode>General</c:formatCode>
                <c:ptCount val="2"/>
                <c:pt idx="0">
                  <c:v>86</c:v>
                </c:pt>
                <c:pt idx="1">
                  <c:v>86</c:v>
                </c:pt>
              </c:numCache>
            </c:numRef>
          </c:val>
        </c:ser>
        <c:ser>
          <c:idx val="2"/>
          <c:order val="2"/>
          <c:tx>
            <c:strRef>
              <c:f>Homme!$D$3:$D$4</c:f>
              <c:strCache>
                <c:ptCount val="1"/>
                <c:pt idx="0">
                  <c:v>Ne se prononce pas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Homme!$A$5:$A$6</c:f>
              <c:strCache>
                <c:ptCount val="2"/>
                <c:pt idx="0">
                  <c:v>Homme</c:v>
                </c:pt>
                <c:pt idx="1">
                  <c:v>Total Résultat</c:v>
                </c:pt>
              </c:strCache>
            </c:strRef>
          </c:cat>
          <c:val>
            <c:numRef>
              <c:f>Homme!$D$5:$D$6</c:f>
              <c:numCache>
                <c:formatCode>General</c:formatCode>
                <c:ptCount val="2"/>
                <c:pt idx="0">
                  <c:v>91</c:v>
                </c:pt>
                <c:pt idx="1">
                  <c:v>91</c:v>
                </c:pt>
              </c:numCache>
            </c:numRef>
          </c:val>
        </c:ser>
        <c:gapWidth val="219"/>
        <c:overlap val="-27"/>
        <c:axId val="32809294"/>
        <c:axId val="33325689"/>
      </c:barChart>
      <c:catAx>
        <c:axId val="32809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325689"/>
        <c:crosses val="autoZero"/>
        <c:auto val="1"/>
        <c:lblAlgn val="ctr"/>
        <c:lblOffset val="100"/>
        <c:noMultiLvlLbl val="0"/>
      </c:catAx>
      <c:valAx>
        <c:axId val="333256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809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Homme!$B$11</c:f>
              <c:strCache>
                <c:ptCount val="1"/>
                <c:pt idx="0">
                  <c:v>Nombre de Sexe_Libelle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Homme!$A$12:$A$13</c:f>
              <c:strCache>
                <c:ptCount val="2"/>
                <c:pt idx="0">
                  <c:v>Homme</c:v>
                </c:pt>
                <c:pt idx="1">
                  <c:v>Total Résultat</c:v>
                </c:pt>
              </c:strCache>
            </c:strRef>
          </c:cat>
          <c:val>
            <c:numRef>
              <c:f>Homme!$B$12:$B$13</c:f>
              <c:numCache>
                <c:formatCode>General</c:formatCode>
                <c:ptCount val="2"/>
                <c:pt idx="0">
                  <c:v>255</c:v>
                </c:pt>
                <c:pt idx="1">
                  <c:v>255</c:v>
                </c:pt>
              </c:numCache>
            </c:numRef>
          </c:val>
        </c:ser>
        <c:gapWidth val="219"/>
        <c:overlap val="-27"/>
        <c:axId val="81091258"/>
        <c:axId val="31987736"/>
      </c:barChart>
      <c:catAx>
        <c:axId val="810912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987736"/>
        <c:crosses val="autoZero"/>
        <c:auto val="1"/>
        <c:lblAlgn val="ctr"/>
        <c:lblOffset val="100"/>
        <c:noMultiLvlLbl val="0"/>
      </c:catAx>
      <c:valAx>
        <c:axId val="319877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0912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Homme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Homme!$B$20:$B$21</c:f>
              <c:strCache>
                <c:ptCount val="1"/>
                <c:pt idx="0">
                  <c:v>Sexe_Libelle Total Résultat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Homme!$A$22:$A$32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Homme!$B$22:$B$32</c:f>
              <c:numCache>
                <c:formatCode>General</c:formatCode>
                <c:ptCount val="11"/>
              </c:numCache>
            </c:numRef>
          </c:val>
        </c:ser>
        <c:gapWidth val="219"/>
        <c:overlap val="-27"/>
        <c:axId val="84121317"/>
        <c:axId val="71945193"/>
      </c:barChart>
      <c:catAx>
        <c:axId val="841213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945193"/>
        <c:crosses val="autoZero"/>
        <c:auto val="1"/>
        <c:lblAlgn val="ctr"/>
        <c:lblOffset val="100"/>
        <c:noMultiLvlLbl val="0"/>
      </c:catAx>
      <c:valAx>
        <c:axId val="719451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121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Homme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Homme!$B$37:$B$38</c:f>
              <c:strCache>
                <c:ptCount val="1"/>
                <c:pt idx="0">
                  <c:v>Sexe_Libelle Total Résultat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Homme!$A$39:$A$49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Homme!$B$39:$B$49</c:f>
              <c:numCache>
                <c:formatCode>General</c:formatCode>
                <c:ptCount val="11"/>
              </c:numCache>
            </c:numRef>
          </c:val>
        </c:ser>
        <c:gapWidth val="219"/>
        <c:overlap val="-27"/>
        <c:axId val="7331293"/>
        <c:axId val="86017707"/>
      </c:barChart>
      <c:catAx>
        <c:axId val="73312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017707"/>
        <c:crosses val="autoZero"/>
        <c:auto val="1"/>
        <c:lblAlgn val="ctr"/>
        <c:lblOffset val="100"/>
        <c:noMultiLvlLbl val="0"/>
      </c:catAx>
      <c:valAx>
        <c:axId val="860177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3312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Femme!$B$3:$B$4</c:f>
              <c:strCache>
                <c:ptCount val="1"/>
                <c:pt idx="0">
                  <c:v>Avis_Libellé Défavorable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Femme!$A$5:$A$6</c:f>
              <c:strCache>
                <c:ptCount val="2"/>
                <c:pt idx="0">
                  <c:v>Femme</c:v>
                </c:pt>
                <c:pt idx="1">
                  <c:v>Total Résultat</c:v>
                </c:pt>
              </c:strCache>
            </c:strRef>
          </c:cat>
          <c:val>
            <c:numRef>
              <c:f>Femme!$B$5:$B$6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val>
        </c:ser>
        <c:ser>
          <c:idx val="1"/>
          <c:order val="1"/>
          <c:tx>
            <c:strRef>
              <c:f>Femme!$C$3:$C$4</c:f>
              <c:strCache>
                <c:ptCount val="1"/>
                <c:pt idx="0">
                  <c:v>Favorable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Femme!$A$5:$A$6</c:f>
              <c:strCache>
                <c:ptCount val="2"/>
                <c:pt idx="0">
                  <c:v>Femme</c:v>
                </c:pt>
                <c:pt idx="1">
                  <c:v>Total Résultat</c:v>
                </c:pt>
              </c:strCache>
            </c:strRef>
          </c:cat>
          <c:val>
            <c:numRef>
              <c:f>Femme!$C$5:$C$6</c:f>
              <c:numCache>
                <c:formatCode>General</c:formatCode>
                <c:ptCount val="2"/>
                <c:pt idx="0">
                  <c:v>84</c:v>
                </c:pt>
                <c:pt idx="1">
                  <c:v>84</c:v>
                </c:pt>
              </c:numCache>
            </c:numRef>
          </c:val>
        </c:ser>
        <c:ser>
          <c:idx val="2"/>
          <c:order val="2"/>
          <c:tx>
            <c:strRef>
              <c:f>Femme!$D$3:$D$4</c:f>
              <c:strCache>
                <c:ptCount val="1"/>
                <c:pt idx="0">
                  <c:v>Ne se prononce pas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Femme!$A$5:$A$6</c:f>
              <c:strCache>
                <c:ptCount val="2"/>
                <c:pt idx="0">
                  <c:v>Femme</c:v>
                </c:pt>
                <c:pt idx="1">
                  <c:v>Total Résultat</c:v>
                </c:pt>
              </c:strCache>
            </c:strRef>
          </c:cat>
          <c:val>
            <c:numRef>
              <c:f>Femme!$D$5:$D$6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val>
        </c:ser>
        <c:gapWidth val="219"/>
        <c:overlap val="-27"/>
        <c:axId val="80439031"/>
        <c:axId val="96778364"/>
      </c:barChart>
      <c:catAx>
        <c:axId val="80439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778364"/>
        <c:crosses val="autoZero"/>
        <c:auto val="1"/>
        <c:lblAlgn val="ctr"/>
        <c:lblOffset val="100"/>
        <c:noMultiLvlLbl val="0"/>
      </c:catAx>
      <c:valAx>
        <c:axId val="967783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4390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Total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Femme!$B$11</c:f>
              <c:strCache>
                <c:ptCount val="1"/>
                <c:pt idx="0">
                  <c:v>Nombre de Sexe_Libelle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Femme!$A$12:$A$13</c:f>
              <c:strCache>
                <c:ptCount val="2"/>
                <c:pt idx="0">
                  <c:v>Femme</c:v>
                </c:pt>
                <c:pt idx="1">
                  <c:v>Total Résultat</c:v>
                </c:pt>
              </c:strCache>
            </c:strRef>
          </c:cat>
          <c:val>
            <c:numRef>
              <c:f>Femme!$B$12:$B$13</c:f>
              <c:numCache>
                <c:formatCode>General</c:formatCode>
                <c:ptCount val="2"/>
                <c:pt idx="0">
                  <c:v>245</c:v>
                </c:pt>
                <c:pt idx="1">
                  <c:v>245</c:v>
                </c:pt>
              </c:numCache>
            </c:numRef>
          </c:val>
        </c:ser>
        <c:gapWidth val="219"/>
        <c:overlap val="-27"/>
        <c:axId val="72940633"/>
        <c:axId val="74635540"/>
      </c:barChart>
      <c:catAx>
        <c:axId val="729406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635540"/>
        <c:crosses val="autoZero"/>
        <c:auto val="1"/>
        <c:lblAlgn val="ctr"/>
        <c:lblOffset val="100"/>
        <c:noMultiLvlLbl val="0"/>
      </c:catAx>
      <c:valAx>
        <c:axId val="7463554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940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Femme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Femme!$B$20:$B$21</c:f>
              <c:strCache>
                <c:ptCount val="1"/>
                <c:pt idx="0">
                  <c:v>Sexe_Libelle Total Résultat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Femme!$A$22:$A$32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Femme!$B$22:$B$32</c:f>
              <c:numCache>
                <c:formatCode>General</c:formatCode>
                <c:ptCount val="11"/>
              </c:numCache>
            </c:numRef>
          </c:val>
        </c:ser>
        <c:gapWidth val="219"/>
        <c:overlap val="-27"/>
        <c:axId val="3691026"/>
        <c:axId val="59637296"/>
      </c:barChart>
      <c:catAx>
        <c:axId val="3691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637296"/>
        <c:crosses val="autoZero"/>
        <c:auto val="1"/>
        <c:lblAlgn val="ctr"/>
        <c:lblOffset val="100"/>
        <c:noMultiLvlLbl val="0"/>
      </c:catAx>
      <c:valAx>
        <c:axId val="5963729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91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Femme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Femme!$B$37:$B$38</c:f>
              <c:strCache>
                <c:ptCount val="1"/>
                <c:pt idx="0">
                  <c:v>Sexe_Libelle Total Résultat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Femme!$A$39:$A$49</c:f>
              <c:strCache>
                <c:ptCount val="11"/>
                <c:pt idx="0">
                  <c:v>Total Résultat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</c:strCache>
            </c:strRef>
          </c:cat>
          <c:val>
            <c:numRef>
              <c:f>Femme!$B$39:$B$49</c:f>
              <c:numCache>
                <c:formatCode>General</c:formatCode>
                <c:ptCount val="11"/>
              </c:numCache>
            </c:numRef>
          </c:val>
        </c:ser>
        <c:gapWidth val="219"/>
        <c:overlap val="-27"/>
        <c:axId val="86708244"/>
        <c:axId val="77330170"/>
      </c:barChart>
      <c:catAx>
        <c:axId val="867082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330170"/>
        <c:crosses val="autoZero"/>
        <c:auto val="1"/>
        <c:lblAlgn val="ctr"/>
        <c:lblOffset val="100"/>
        <c:noMultiLvlLbl val="0"/>
      </c:catAx>
      <c:valAx>
        <c:axId val="773301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708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267120</xdr:colOff>
      <xdr:row>2</xdr:row>
      <xdr:rowOff>75240</xdr:rowOff>
    </xdr:from>
    <xdr:to>
      <xdr:col>18</xdr:col>
      <xdr:colOff>399600</xdr:colOff>
      <xdr:row>18</xdr:row>
      <xdr:rowOff>117360</xdr:rowOff>
    </xdr:to>
    <xdr:graphicFrame>
      <xdr:nvGraphicFramePr>
        <xdr:cNvPr id="1" name="Graphique 2"/>
        <xdr:cNvGraphicFramePr/>
      </xdr:nvGraphicFramePr>
      <xdr:xfrm>
        <a:off x="12940920" y="456120"/>
        <a:ext cx="5125680" cy="309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59400</xdr:colOff>
      <xdr:row>18</xdr:row>
      <xdr:rowOff>183600</xdr:rowOff>
    </xdr:from>
    <xdr:to>
      <xdr:col>13</xdr:col>
      <xdr:colOff>354600</xdr:colOff>
      <xdr:row>30</xdr:row>
      <xdr:rowOff>33840</xdr:rowOff>
    </xdr:to>
    <xdr:graphicFrame>
      <xdr:nvGraphicFramePr>
        <xdr:cNvPr id="2" name="Graphique 1"/>
        <xdr:cNvGraphicFramePr/>
      </xdr:nvGraphicFramePr>
      <xdr:xfrm>
        <a:off x="8585640" y="3612600"/>
        <a:ext cx="4442760" cy="213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660240</xdr:colOff>
      <xdr:row>20</xdr:row>
      <xdr:rowOff>45000</xdr:rowOff>
    </xdr:from>
    <xdr:to>
      <xdr:col>17</xdr:col>
      <xdr:colOff>939240</xdr:colOff>
      <xdr:row>31</xdr:row>
      <xdr:rowOff>83520</xdr:rowOff>
    </xdr:to>
    <xdr:graphicFrame>
      <xdr:nvGraphicFramePr>
        <xdr:cNvPr id="3" name="Graphique 3"/>
        <xdr:cNvGraphicFramePr/>
      </xdr:nvGraphicFramePr>
      <xdr:xfrm>
        <a:off x="13334040" y="3854880"/>
        <a:ext cx="4003560" cy="213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125640</xdr:colOff>
      <xdr:row>1</xdr:row>
      <xdr:rowOff>1800</xdr:rowOff>
    </xdr:from>
    <xdr:to>
      <xdr:col>23</xdr:col>
      <xdr:colOff>586080</xdr:colOff>
      <xdr:row>16</xdr:row>
      <xdr:rowOff>1080</xdr:rowOff>
    </xdr:to>
    <xdr:graphicFrame>
      <xdr:nvGraphicFramePr>
        <xdr:cNvPr id="4" name="Graphique 1"/>
        <xdr:cNvGraphicFramePr/>
      </xdr:nvGraphicFramePr>
      <xdr:xfrm>
        <a:off x="5301000" y="192240"/>
        <a:ext cx="46785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181080</xdr:colOff>
      <xdr:row>0</xdr:row>
      <xdr:rowOff>104760</xdr:rowOff>
    </xdr:from>
    <xdr:to>
      <xdr:col>1</xdr:col>
      <xdr:colOff>1142280</xdr:colOff>
      <xdr:row>1</xdr:row>
      <xdr:rowOff>142200</xdr:rowOff>
    </xdr:to>
    <xdr:sp>
      <xdr:nvSpPr>
        <xdr:cNvPr id="5" name="ZoneTexte 4"/>
        <xdr:cNvSpPr/>
      </xdr:nvSpPr>
      <xdr:spPr>
        <a:xfrm>
          <a:off x="181080" y="104760"/>
          <a:ext cx="2582280" cy="2278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chemeClr val="dk1"/>
              </a:solidFill>
              <a:latin typeface="Calibri"/>
            </a:rPr>
            <a:t>Repartition des individus selon l'age </a:t>
          </a:r>
          <a:endParaRPr b="0" lang="fr-FR" sz="1100" spc="-1" strike="noStrike"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417240</xdr:colOff>
      <xdr:row>1</xdr:row>
      <xdr:rowOff>156240</xdr:rowOff>
    </xdr:from>
    <xdr:to>
      <xdr:col>8</xdr:col>
      <xdr:colOff>264240</xdr:colOff>
      <xdr:row>16</xdr:row>
      <xdr:rowOff>155520</xdr:rowOff>
    </xdr:to>
    <xdr:graphicFrame>
      <xdr:nvGraphicFramePr>
        <xdr:cNvPr id="6" name="Graphique 1"/>
        <xdr:cNvGraphicFramePr/>
      </xdr:nvGraphicFramePr>
      <xdr:xfrm>
        <a:off x="3518640" y="346680"/>
        <a:ext cx="43617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95400</xdr:colOff>
      <xdr:row>0</xdr:row>
      <xdr:rowOff>95400</xdr:rowOff>
    </xdr:from>
    <xdr:to>
      <xdr:col>1</xdr:col>
      <xdr:colOff>1171080</xdr:colOff>
      <xdr:row>1</xdr:row>
      <xdr:rowOff>132840</xdr:rowOff>
    </xdr:to>
    <xdr:sp>
      <xdr:nvSpPr>
        <xdr:cNvPr id="7" name="ZoneTexte 2"/>
        <xdr:cNvSpPr/>
      </xdr:nvSpPr>
      <xdr:spPr>
        <a:xfrm>
          <a:off x="95400" y="95400"/>
          <a:ext cx="2556000" cy="22788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chemeClr val="dk1"/>
              </a:solidFill>
              <a:latin typeface="Calibri"/>
            </a:rPr>
            <a:t>Repartition des individus selon le sexe</a:t>
          </a:r>
          <a:endParaRPr b="0" lang="fr-FR" sz="1100" spc="-1" strike="noStrike">
            <a:latin typeface="Calibri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24840</xdr:colOff>
      <xdr:row>2</xdr:row>
      <xdr:rowOff>3960</xdr:rowOff>
    </xdr:from>
    <xdr:to>
      <xdr:col>11</xdr:col>
      <xdr:colOff>593640</xdr:colOff>
      <xdr:row>17</xdr:row>
      <xdr:rowOff>3240</xdr:rowOff>
    </xdr:to>
    <xdr:graphicFrame>
      <xdr:nvGraphicFramePr>
        <xdr:cNvPr id="8" name="Graphique 1"/>
        <xdr:cNvGraphicFramePr/>
      </xdr:nvGraphicFramePr>
      <xdr:xfrm>
        <a:off x="6807960" y="384840"/>
        <a:ext cx="433116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237960</xdr:colOff>
      <xdr:row>0</xdr:row>
      <xdr:rowOff>57240</xdr:rowOff>
    </xdr:from>
    <xdr:to>
      <xdr:col>1</xdr:col>
      <xdr:colOff>1427760</xdr:colOff>
      <xdr:row>1</xdr:row>
      <xdr:rowOff>123120</xdr:rowOff>
    </xdr:to>
    <xdr:sp>
      <xdr:nvSpPr>
        <xdr:cNvPr id="9" name="ZoneTexte 2"/>
        <xdr:cNvSpPr/>
      </xdr:nvSpPr>
      <xdr:spPr>
        <a:xfrm>
          <a:off x="237960" y="57240"/>
          <a:ext cx="2670120" cy="25632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fr-FR" sz="1100" spc="-1" strike="noStrike">
              <a:solidFill>
                <a:schemeClr val="dk1"/>
              </a:solidFill>
              <a:latin typeface="Calibri"/>
            </a:rPr>
            <a:t>Repartition des individus selon leur avis </a:t>
          </a:r>
          <a:endParaRPr b="0" lang="fr-FR" sz="1100" spc="-1" strike="noStrike">
            <a:latin typeface="Calibri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237960</xdr:colOff>
      <xdr:row>0</xdr:row>
      <xdr:rowOff>185760</xdr:rowOff>
    </xdr:from>
    <xdr:to>
      <xdr:col>16</xdr:col>
      <xdr:colOff>237240</xdr:colOff>
      <xdr:row>15</xdr:row>
      <xdr:rowOff>70920</xdr:rowOff>
    </xdr:to>
    <xdr:graphicFrame>
      <xdr:nvGraphicFramePr>
        <xdr:cNvPr id="10" name="Graphique 1"/>
        <xdr:cNvGraphicFramePr/>
      </xdr:nvGraphicFramePr>
      <xdr:xfrm>
        <a:off x="10171800" y="185760"/>
        <a:ext cx="45144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200160</xdr:colOff>
      <xdr:row>15</xdr:row>
      <xdr:rowOff>171360</xdr:rowOff>
    </xdr:from>
    <xdr:to>
      <xdr:col>15</xdr:col>
      <xdr:colOff>570960</xdr:colOff>
      <xdr:row>28</xdr:row>
      <xdr:rowOff>32400</xdr:rowOff>
    </xdr:to>
    <xdr:graphicFrame>
      <xdr:nvGraphicFramePr>
        <xdr:cNvPr id="11" name="Graphique 2"/>
        <xdr:cNvGraphicFramePr/>
      </xdr:nvGraphicFramePr>
      <xdr:xfrm>
        <a:off x="10134000" y="3029040"/>
        <a:ext cx="4133160" cy="23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104760</xdr:colOff>
      <xdr:row>29</xdr:row>
      <xdr:rowOff>71280</xdr:rowOff>
    </xdr:from>
    <xdr:to>
      <xdr:col>16</xdr:col>
      <xdr:colOff>104040</xdr:colOff>
      <xdr:row>43</xdr:row>
      <xdr:rowOff>146880</xdr:rowOff>
    </xdr:to>
    <xdr:graphicFrame>
      <xdr:nvGraphicFramePr>
        <xdr:cNvPr id="12" name="Graphique 3"/>
        <xdr:cNvGraphicFramePr/>
      </xdr:nvGraphicFramePr>
      <xdr:xfrm>
        <a:off x="10038600" y="5595840"/>
        <a:ext cx="45144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114480</xdr:colOff>
      <xdr:row>45</xdr:row>
      <xdr:rowOff>23760</xdr:rowOff>
    </xdr:from>
    <xdr:to>
      <xdr:col>16</xdr:col>
      <xdr:colOff>113760</xdr:colOff>
      <xdr:row>59</xdr:row>
      <xdr:rowOff>99360</xdr:rowOff>
    </xdr:to>
    <xdr:graphicFrame>
      <xdr:nvGraphicFramePr>
        <xdr:cNvPr id="13" name="Graphique 4"/>
        <xdr:cNvGraphicFramePr/>
      </xdr:nvGraphicFramePr>
      <xdr:xfrm>
        <a:off x="10048320" y="8596440"/>
        <a:ext cx="45144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237960</xdr:colOff>
      <xdr:row>0</xdr:row>
      <xdr:rowOff>185760</xdr:rowOff>
    </xdr:from>
    <xdr:to>
      <xdr:col>16</xdr:col>
      <xdr:colOff>237240</xdr:colOff>
      <xdr:row>15</xdr:row>
      <xdr:rowOff>70920</xdr:rowOff>
    </xdr:to>
    <xdr:graphicFrame>
      <xdr:nvGraphicFramePr>
        <xdr:cNvPr id="14" name="Graphique 1"/>
        <xdr:cNvGraphicFramePr/>
      </xdr:nvGraphicFramePr>
      <xdr:xfrm>
        <a:off x="10332720" y="185760"/>
        <a:ext cx="45140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200160</xdr:colOff>
      <xdr:row>15</xdr:row>
      <xdr:rowOff>171360</xdr:rowOff>
    </xdr:from>
    <xdr:to>
      <xdr:col>15</xdr:col>
      <xdr:colOff>570960</xdr:colOff>
      <xdr:row>28</xdr:row>
      <xdr:rowOff>32400</xdr:rowOff>
    </xdr:to>
    <xdr:graphicFrame>
      <xdr:nvGraphicFramePr>
        <xdr:cNvPr id="15" name="Graphique 2"/>
        <xdr:cNvGraphicFramePr/>
      </xdr:nvGraphicFramePr>
      <xdr:xfrm>
        <a:off x="10294920" y="3029040"/>
        <a:ext cx="4133160" cy="23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104760</xdr:colOff>
      <xdr:row>29</xdr:row>
      <xdr:rowOff>71280</xdr:rowOff>
    </xdr:from>
    <xdr:to>
      <xdr:col>16</xdr:col>
      <xdr:colOff>104040</xdr:colOff>
      <xdr:row>43</xdr:row>
      <xdr:rowOff>146880</xdr:rowOff>
    </xdr:to>
    <xdr:graphicFrame>
      <xdr:nvGraphicFramePr>
        <xdr:cNvPr id="16" name="Graphique 3"/>
        <xdr:cNvGraphicFramePr/>
      </xdr:nvGraphicFramePr>
      <xdr:xfrm>
        <a:off x="10199520" y="5595840"/>
        <a:ext cx="45140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114480</xdr:colOff>
      <xdr:row>45</xdr:row>
      <xdr:rowOff>23760</xdr:rowOff>
    </xdr:from>
    <xdr:to>
      <xdr:col>16</xdr:col>
      <xdr:colOff>113760</xdr:colOff>
      <xdr:row>59</xdr:row>
      <xdr:rowOff>99360</xdr:rowOff>
    </xdr:to>
    <xdr:graphicFrame>
      <xdr:nvGraphicFramePr>
        <xdr:cNvPr id="17" name="Graphique 4"/>
        <xdr:cNvGraphicFramePr/>
      </xdr:nvGraphicFramePr>
      <xdr:xfrm>
        <a:off x="10209240" y="8596440"/>
        <a:ext cx="451404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0" createdVersion="3">
  <cacheSource type="worksheet">
    <worksheetSource ref="B1:F501" sheet="Tableau à 500 individus"/>
  </cacheSource>
  <cacheFields count="5">
    <cacheField name="Age " numFmtId="0">
      <sharedItems containsSemiMixedTypes="0" containsString="0" containsNumber="1" containsInteger="1" minValue="30" maxValue="50" count="2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</sharedItems>
    </cacheField>
    <cacheField name="Sexe" numFmtId="0">
      <sharedItems containsSemiMixedTypes="0" containsString="0" containsNumber="1" containsInteger="1" minValue="0" maxValue="1" count="2">
        <n v="0"/>
        <n v="1"/>
      </sharedItems>
    </cacheField>
    <cacheField name="Sexe_Libelle" numFmtId="0">
      <sharedItems count="2">
        <s v="Femme"/>
        <s v="Homme"/>
      </sharedItems>
    </cacheField>
    <cacheField name="Avis " numFmtId="0">
      <sharedItems containsSemiMixedTypes="0" containsString="0" containsNumber="1" containsInteger="1" minValue="1" maxValue="3" count="3">
        <n v="1"/>
        <n v="2"/>
        <n v="3"/>
      </sharedItems>
    </cacheField>
    <cacheField name="Avis_Libellé" numFmtId="0">
      <sharedItems count="3">
        <s v="Défavorable"/>
        <s v="Favorable"/>
        <s v="Ne se prononce p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1"/>
    <x v="0"/>
    <x v="1"/>
    <x v="0"/>
  </r>
  <r>
    <x v="0"/>
    <x v="1"/>
    <x v="0"/>
    <x v="2"/>
    <x v="2"/>
  </r>
  <r>
    <x v="0"/>
    <x v="1"/>
    <x v="0"/>
    <x v="0"/>
    <x v="1"/>
  </r>
  <r>
    <x v="0"/>
    <x v="1"/>
    <x v="0"/>
    <x v="2"/>
    <x v="2"/>
  </r>
  <r>
    <x v="0"/>
    <x v="1"/>
    <x v="0"/>
    <x v="0"/>
    <x v="1"/>
  </r>
  <r>
    <x v="0"/>
    <x v="0"/>
    <x v="1"/>
    <x v="1"/>
    <x v="0"/>
  </r>
  <r>
    <x v="0"/>
    <x v="0"/>
    <x v="1"/>
    <x v="0"/>
    <x v="1"/>
  </r>
  <r>
    <x v="0"/>
    <x v="0"/>
    <x v="1"/>
    <x v="1"/>
    <x v="0"/>
  </r>
  <r>
    <x v="0"/>
    <x v="1"/>
    <x v="0"/>
    <x v="0"/>
    <x v="1"/>
  </r>
  <r>
    <x v="0"/>
    <x v="0"/>
    <x v="1"/>
    <x v="0"/>
    <x v="1"/>
  </r>
  <r>
    <x v="0"/>
    <x v="1"/>
    <x v="0"/>
    <x v="1"/>
    <x v="0"/>
  </r>
  <r>
    <x v="0"/>
    <x v="0"/>
    <x v="1"/>
    <x v="2"/>
    <x v="2"/>
  </r>
  <r>
    <x v="0"/>
    <x v="1"/>
    <x v="0"/>
    <x v="1"/>
    <x v="0"/>
  </r>
  <r>
    <x v="0"/>
    <x v="0"/>
    <x v="1"/>
    <x v="1"/>
    <x v="0"/>
  </r>
  <r>
    <x v="0"/>
    <x v="0"/>
    <x v="1"/>
    <x v="1"/>
    <x v="0"/>
  </r>
  <r>
    <x v="0"/>
    <x v="1"/>
    <x v="0"/>
    <x v="0"/>
    <x v="1"/>
  </r>
  <r>
    <x v="0"/>
    <x v="1"/>
    <x v="0"/>
    <x v="1"/>
    <x v="0"/>
  </r>
  <r>
    <x v="0"/>
    <x v="0"/>
    <x v="1"/>
    <x v="0"/>
    <x v="1"/>
  </r>
  <r>
    <x v="0"/>
    <x v="0"/>
    <x v="1"/>
    <x v="1"/>
    <x v="0"/>
  </r>
  <r>
    <x v="0"/>
    <x v="1"/>
    <x v="0"/>
    <x v="1"/>
    <x v="0"/>
  </r>
  <r>
    <x v="0"/>
    <x v="0"/>
    <x v="1"/>
    <x v="1"/>
    <x v="0"/>
  </r>
  <r>
    <x v="0"/>
    <x v="1"/>
    <x v="0"/>
    <x v="0"/>
    <x v="1"/>
  </r>
  <r>
    <x v="0"/>
    <x v="1"/>
    <x v="0"/>
    <x v="2"/>
    <x v="2"/>
  </r>
  <r>
    <x v="0"/>
    <x v="0"/>
    <x v="1"/>
    <x v="0"/>
    <x v="1"/>
  </r>
  <r>
    <x v="0"/>
    <x v="1"/>
    <x v="0"/>
    <x v="1"/>
    <x v="0"/>
  </r>
  <r>
    <x v="1"/>
    <x v="0"/>
    <x v="1"/>
    <x v="0"/>
    <x v="1"/>
  </r>
  <r>
    <x v="1"/>
    <x v="0"/>
    <x v="1"/>
    <x v="2"/>
    <x v="2"/>
  </r>
  <r>
    <x v="1"/>
    <x v="0"/>
    <x v="1"/>
    <x v="2"/>
    <x v="2"/>
  </r>
  <r>
    <x v="1"/>
    <x v="1"/>
    <x v="0"/>
    <x v="0"/>
    <x v="1"/>
  </r>
  <r>
    <x v="1"/>
    <x v="0"/>
    <x v="1"/>
    <x v="1"/>
    <x v="0"/>
  </r>
  <r>
    <x v="1"/>
    <x v="0"/>
    <x v="1"/>
    <x v="0"/>
    <x v="1"/>
  </r>
  <r>
    <x v="1"/>
    <x v="0"/>
    <x v="1"/>
    <x v="0"/>
    <x v="1"/>
  </r>
  <r>
    <x v="1"/>
    <x v="0"/>
    <x v="1"/>
    <x v="1"/>
    <x v="0"/>
  </r>
  <r>
    <x v="1"/>
    <x v="1"/>
    <x v="0"/>
    <x v="2"/>
    <x v="2"/>
  </r>
  <r>
    <x v="1"/>
    <x v="1"/>
    <x v="0"/>
    <x v="1"/>
    <x v="0"/>
  </r>
  <r>
    <x v="1"/>
    <x v="0"/>
    <x v="1"/>
    <x v="2"/>
    <x v="2"/>
  </r>
  <r>
    <x v="1"/>
    <x v="1"/>
    <x v="0"/>
    <x v="2"/>
    <x v="2"/>
  </r>
  <r>
    <x v="1"/>
    <x v="0"/>
    <x v="1"/>
    <x v="1"/>
    <x v="0"/>
  </r>
  <r>
    <x v="1"/>
    <x v="1"/>
    <x v="0"/>
    <x v="0"/>
    <x v="1"/>
  </r>
  <r>
    <x v="1"/>
    <x v="1"/>
    <x v="0"/>
    <x v="2"/>
    <x v="2"/>
  </r>
  <r>
    <x v="1"/>
    <x v="0"/>
    <x v="1"/>
    <x v="1"/>
    <x v="0"/>
  </r>
  <r>
    <x v="1"/>
    <x v="0"/>
    <x v="1"/>
    <x v="2"/>
    <x v="2"/>
  </r>
  <r>
    <x v="1"/>
    <x v="0"/>
    <x v="1"/>
    <x v="2"/>
    <x v="2"/>
  </r>
  <r>
    <x v="1"/>
    <x v="0"/>
    <x v="1"/>
    <x v="2"/>
    <x v="2"/>
  </r>
  <r>
    <x v="1"/>
    <x v="0"/>
    <x v="1"/>
    <x v="2"/>
    <x v="2"/>
  </r>
  <r>
    <x v="1"/>
    <x v="1"/>
    <x v="0"/>
    <x v="1"/>
    <x v="0"/>
  </r>
  <r>
    <x v="1"/>
    <x v="0"/>
    <x v="1"/>
    <x v="2"/>
    <x v="2"/>
  </r>
  <r>
    <x v="1"/>
    <x v="1"/>
    <x v="0"/>
    <x v="1"/>
    <x v="0"/>
  </r>
  <r>
    <x v="1"/>
    <x v="1"/>
    <x v="0"/>
    <x v="2"/>
    <x v="2"/>
  </r>
  <r>
    <x v="1"/>
    <x v="0"/>
    <x v="1"/>
    <x v="1"/>
    <x v="0"/>
  </r>
  <r>
    <x v="1"/>
    <x v="0"/>
    <x v="1"/>
    <x v="1"/>
    <x v="0"/>
  </r>
  <r>
    <x v="1"/>
    <x v="0"/>
    <x v="1"/>
    <x v="2"/>
    <x v="2"/>
  </r>
  <r>
    <x v="1"/>
    <x v="0"/>
    <x v="1"/>
    <x v="0"/>
    <x v="1"/>
  </r>
  <r>
    <x v="2"/>
    <x v="1"/>
    <x v="0"/>
    <x v="0"/>
    <x v="1"/>
  </r>
  <r>
    <x v="2"/>
    <x v="0"/>
    <x v="1"/>
    <x v="1"/>
    <x v="0"/>
  </r>
  <r>
    <x v="2"/>
    <x v="1"/>
    <x v="0"/>
    <x v="1"/>
    <x v="0"/>
  </r>
  <r>
    <x v="2"/>
    <x v="1"/>
    <x v="0"/>
    <x v="2"/>
    <x v="2"/>
  </r>
  <r>
    <x v="2"/>
    <x v="1"/>
    <x v="0"/>
    <x v="1"/>
    <x v="0"/>
  </r>
  <r>
    <x v="2"/>
    <x v="0"/>
    <x v="1"/>
    <x v="0"/>
    <x v="1"/>
  </r>
  <r>
    <x v="2"/>
    <x v="0"/>
    <x v="1"/>
    <x v="1"/>
    <x v="0"/>
  </r>
  <r>
    <x v="2"/>
    <x v="1"/>
    <x v="0"/>
    <x v="2"/>
    <x v="2"/>
  </r>
  <r>
    <x v="2"/>
    <x v="0"/>
    <x v="1"/>
    <x v="0"/>
    <x v="1"/>
  </r>
  <r>
    <x v="2"/>
    <x v="1"/>
    <x v="0"/>
    <x v="0"/>
    <x v="1"/>
  </r>
  <r>
    <x v="2"/>
    <x v="1"/>
    <x v="0"/>
    <x v="0"/>
    <x v="1"/>
  </r>
  <r>
    <x v="2"/>
    <x v="0"/>
    <x v="1"/>
    <x v="2"/>
    <x v="2"/>
  </r>
  <r>
    <x v="2"/>
    <x v="1"/>
    <x v="0"/>
    <x v="2"/>
    <x v="2"/>
  </r>
  <r>
    <x v="2"/>
    <x v="0"/>
    <x v="1"/>
    <x v="1"/>
    <x v="0"/>
  </r>
  <r>
    <x v="2"/>
    <x v="0"/>
    <x v="1"/>
    <x v="2"/>
    <x v="2"/>
  </r>
  <r>
    <x v="2"/>
    <x v="1"/>
    <x v="0"/>
    <x v="1"/>
    <x v="0"/>
  </r>
  <r>
    <x v="2"/>
    <x v="1"/>
    <x v="0"/>
    <x v="2"/>
    <x v="2"/>
  </r>
  <r>
    <x v="2"/>
    <x v="0"/>
    <x v="1"/>
    <x v="1"/>
    <x v="0"/>
  </r>
  <r>
    <x v="2"/>
    <x v="0"/>
    <x v="1"/>
    <x v="0"/>
    <x v="1"/>
  </r>
  <r>
    <x v="2"/>
    <x v="1"/>
    <x v="0"/>
    <x v="2"/>
    <x v="2"/>
  </r>
  <r>
    <x v="2"/>
    <x v="1"/>
    <x v="0"/>
    <x v="2"/>
    <x v="2"/>
  </r>
  <r>
    <x v="2"/>
    <x v="0"/>
    <x v="1"/>
    <x v="2"/>
    <x v="2"/>
  </r>
  <r>
    <x v="2"/>
    <x v="0"/>
    <x v="1"/>
    <x v="2"/>
    <x v="2"/>
  </r>
  <r>
    <x v="2"/>
    <x v="0"/>
    <x v="1"/>
    <x v="0"/>
    <x v="1"/>
  </r>
  <r>
    <x v="3"/>
    <x v="1"/>
    <x v="0"/>
    <x v="2"/>
    <x v="2"/>
  </r>
  <r>
    <x v="3"/>
    <x v="0"/>
    <x v="1"/>
    <x v="2"/>
    <x v="2"/>
  </r>
  <r>
    <x v="3"/>
    <x v="0"/>
    <x v="1"/>
    <x v="2"/>
    <x v="2"/>
  </r>
  <r>
    <x v="3"/>
    <x v="0"/>
    <x v="1"/>
    <x v="2"/>
    <x v="2"/>
  </r>
  <r>
    <x v="3"/>
    <x v="0"/>
    <x v="1"/>
    <x v="2"/>
    <x v="2"/>
  </r>
  <r>
    <x v="3"/>
    <x v="0"/>
    <x v="1"/>
    <x v="1"/>
    <x v="0"/>
  </r>
  <r>
    <x v="3"/>
    <x v="1"/>
    <x v="0"/>
    <x v="1"/>
    <x v="0"/>
  </r>
  <r>
    <x v="3"/>
    <x v="0"/>
    <x v="1"/>
    <x v="1"/>
    <x v="0"/>
  </r>
  <r>
    <x v="3"/>
    <x v="0"/>
    <x v="1"/>
    <x v="1"/>
    <x v="0"/>
  </r>
  <r>
    <x v="3"/>
    <x v="0"/>
    <x v="1"/>
    <x v="2"/>
    <x v="2"/>
  </r>
  <r>
    <x v="3"/>
    <x v="1"/>
    <x v="0"/>
    <x v="1"/>
    <x v="0"/>
  </r>
  <r>
    <x v="3"/>
    <x v="0"/>
    <x v="1"/>
    <x v="0"/>
    <x v="1"/>
  </r>
  <r>
    <x v="3"/>
    <x v="1"/>
    <x v="0"/>
    <x v="1"/>
    <x v="0"/>
  </r>
  <r>
    <x v="3"/>
    <x v="0"/>
    <x v="1"/>
    <x v="2"/>
    <x v="2"/>
  </r>
  <r>
    <x v="3"/>
    <x v="0"/>
    <x v="1"/>
    <x v="1"/>
    <x v="0"/>
  </r>
  <r>
    <x v="3"/>
    <x v="0"/>
    <x v="1"/>
    <x v="0"/>
    <x v="1"/>
  </r>
  <r>
    <x v="3"/>
    <x v="0"/>
    <x v="1"/>
    <x v="1"/>
    <x v="0"/>
  </r>
  <r>
    <x v="3"/>
    <x v="1"/>
    <x v="0"/>
    <x v="2"/>
    <x v="2"/>
  </r>
  <r>
    <x v="3"/>
    <x v="1"/>
    <x v="0"/>
    <x v="1"/>
    <x v="0"/>
  </r>
  <r>
    <x v="3"/>
    <x v="1"/>
    <x v="0"/>
    <x v="2"/>
    <x v="2"/>
  </r>
  <r>
    <x v="3"/>
    <x v="1"/>
    <x v="0"/>
    <x v="0"/>
    <x v="1"/>
  </r>
  <r>
    <x v="3"/>
    <x v="0"/>
    <x v="1"/>
    <x v="1"/>
    <x v="0"/>
  </r>
  <r>
    <x v="3"/>
    <x v="1"/>
    <x v="0"/>
    <x v="0"/>
    <x v="1"/>
  </r>
  <r>
    <x v="3"/>
    <x v="0"/>
    <x v="1"/>
    <x v="1"/>
    <x v="0"/>
  </r>
  <r>
    <x v="3"/>
    <x v="0"/>
    <x v="1"/>
    <x v="1"/>
    <x v="0"/>
  </r>
  <r>
    <x v="4"/>
    <x v="1"/>
    <x v="0"/>
    <x v="1"/>
    <x v="0"/>
  </r>
  <r>
    <x v="4"/>
    <x v="1"/>
    <x v="0"/>
    <x v="1"/>
    <x v="0"/>
  </r>
  <r>
    <x v="4"/>
    <x v="1"/>
    <x v="0"/>
    <x v="0"/>
    <x v="1"/>
  </r>
  <r>
    <x v="4"/>
    <x v="0"/>
    <x v="1"/>
    <x v="0"/>
    <x v="1"/>
  </r>
  <r>
    <x v="4"/>
    <x v="1"/>
    <x v="0"/>
    <x v="0"/>
    <x v="1"/>
  </r>
  <r>
    <x v="4"/>
    <x v="0"/>
    <x v="1"/>
    <x v="1"/>
    <x v="0"/>
  </r>
  <r>
    <x v="4"/>
    <x v="1"/>
    <x v="0"/>
    <x v="0"/>
    <x v="1"/>
  </r>
  <r>
    <x v="4"/>
    <x v="1"/>
    <x v="0"/>
    <x v="2"/>
    <x v="2"/>
  </r>
  <r>
    <x v="4"/>
    <x v="1"/>
    <x v="0"/>
    <x v="1"/>
    <x v="0"/>
  </r>
  <r>
    <x v="4"/>
    <x v="0"/>
    <x v="1"/>
    <x v="2"/>
    <x v="2"/>
  </r>
  <r>
    <x v="4"/>
    <x v="1"/>
    <x v="0"/>
    <x v="1"/>
    <x v="0"/>
  </r>
  <r>
    <x v="4"/>
    <x v="1"/>
    <x v="0"/>
    <x v="2"/>
    <x v="2"/>
  </r>
  <r>
    <x v="4"/>
    <x v="1"/>
    <x v="0"/>
    <x v="2"/>
    <x v="2"/>
  </r>
  <r>
    <x v="4"/>
    <x v="0"/>
    <x v="1"/>
    <x v="2"/>
    <x v="2"/>
  </r>
  <r>
    <x v="4"/>
    <x v="0"/>
    <x v="1"/>
    <x v="1"/>
    <x v="0"/>
  </r>
  <r>
    <x v="4"/>
    <x v="0"/>
    <x v="1"/>
    <x v="0"/>
    <x v="1"/>
  </r>
  <r>
    <x v="4"/>
    <x v="0"/>
    <x v="1"/>
    <x v="0"/>
    <x v="1"/>
  </r>
  <r>
    <x v="4"/>
    <x v="1"/>
    <x v="0"/>
    <x v="0"/>
    <x v="1"/>
  </r>
  <r>
    <x v="4"/>
    <x v="1"/>
    <x v="0"/>
    <x v="2"/>
    <x v="2"/>
  </r>
  <r>
    <x v="4"/>
    <x v="1"/>
    <x v="0"/>
    <x v="0"/>
    <x v="1"/>
  </r>
  <r>
    <x v="4"/>
    <x v="1"/>
    <x v="0"/>
    <x v="2"/>
    <x v="2"/>
  </r>
  <r>
    <x v="4"/>
    <x v="1"/>
    <x v="0"/>
    <x v="0"/>
    <x v="1"/>
  </r>
  <r>
    <x v="4"/>
    <x v="0"/>
    <x v="1"/>
    <x v="2"/>
    <x v="2"/>
  </r>
  <r>
    <x v="4"/>
    <x v="0"/>
    <x v="1"/>
    <x v="2"/>
    <x v="2"/>
  </r>
  <r>
    <x v="4"/>
    <x v="1"/>
    <x v="0"/>
    <x v="2"/>
    <x v="2"/>
  </r>
  <r>
    <x v="5"/>
    <x v="0"/>
    <x v="1"/>
    <x v="0"/>
    <x v="1"/>
  </r>
  <r>
    <x v="5"/>
    <x v="1"/>
    <x v="0"/>
    <x v="1"/>
    <x v="0"/>
  </r>
  <r>
    <x v="5"/>
    <x v="1"/>
    <x v="0"/>
    <x v="1"/>
    <x v="0"/>
  </r>
  <r>
    <x v="5"/>
    <x v="0"/>
    <x v="1"/>
    <x v="2"/>
    <x v="2"/>
  </r>
  <r>
    <x v="5"/>
    <x v="1"/>
    <x v="0"/>
    <x v="0"/>
    <x v="1"/>
  </r>
  <r>
    <x v="5"/>
    <x v="0"/>
    <x v="1"/>
    <x v="1"/>
    <x v="0"/>
  </r>
  <r>
    <x v="5"/>
    <x v="1"/>
    <x v="0"/>
    <x v="0"/>
    <x v="1"/>
  </r>
  <r>
    <x v="5"/>
    <x v="1"/>
    <x v="0"/>
    <x v="0"/>
    <x v="1"/>
  </r>
  <r>
    <x v="5"/>
    <x v="0"/>
    <x v="1"/>
    <x v="0"/>
    <x v="1"/>
  </r>
  <r>
    <x v="5"/>
    <x v="0"/>
    <x v="1"/>
    <x v="2"/>
    <x v="2"/>
  </r>
  <r>
    <x v="5"/>
    <x v="0"/>
    <x v="1"/>
    <x v="0"/>
    <x v="1"/>
  </r>
  <r>
    <x v="5"/>
    <x v="1"/>
    <x v="0"/>
    <x v="0"/>
    <x v="1"/>
  </r>
  <r>
    <x v="5"/>
    <x v="0"/>
    <x v="1"/>
    <x v="1"/>
    <x v="0"/>
  </r>
  <r>
    <x v="5"/>
    <x v="0"/>
    <x v="1"/>
    <x v="0"/>
    <x v="1"/>
  </r>
  <r>
    <x v="5"/>
    <x v="0"/>
    <x v="1"/>
    <x v="1"/>
    <x v="0"/>
  </r>
  <r>
    <x v="5"/>
    <x v="1"/>
    <x v="0"/>
    <x v="1"/>
    <x v="0"/>
  </r>
  <r>
    <x v="5"/>
    <x v="1"/>
    <x v="0"/>
    <x v="0"/>
    <x v="1"/>
  </r>
  <r>
    <x v="5"/>
    <x v="1"/>
    <x v="0"/>
    <x v="0"/>
    <x v="1"/>
  </r>
  <r>
    <x v="5"/>
    <x v="0"/>
    <x v="1"/>
    <x v="1"/>
    <x v="0"/>
  </r>
  <r>
    <x v="5"/>
    <x v="1"/>
    <x v="0"/>
    <x v="2"/>
    <x v="2"/>
  </r>
  <r>
    <x v="5"/>
    <x v="0"/>
    <x v="1"/>
    <x v="0"/>
    <x v="1"/>
  </r>
  <r>
    <x v="5"/>
    <x v="0"/>
    <x v="1"/>
    <x v="1"/>
    <x v="0"/>
  </r>
  <r>
    <x v="5"/>
    <x v="0"/>
    <x v="1"/>
    <x v="2"/>
    <x v="2"/>
  </r>
  <r>
    <x v="5"/>
    <x v="1"/>
    <x v="0"/>
    <x v="2"/>
    <x v="2"/>
  </r>
  <r>
    <x v="5"/>
    <x v="0"/>
    <x v="1"/>
    <x v="2"/>
    <x v="2"/>
  </r>
  <r>
    <x v="5"/>
    <x v="1"/>
    <x v="0"/>
    <x v="2"/>
    <x v="2"/>
  </r>
  <r>
    <x v="5"/>
    <x v="1"/>
    <x v="0"/>
    <x v="0"/>
    <x v="1"/>
  </r>
  <r>
    <x v="5"/>
    <x v="0"/>
    <x v="1"/>
    <x v="0"/>
    <x v="1"/>
  </r>
  <r>
    <x v="5"/>
    <x v="1"/>
    <x v="0"/>
    <x v="1"/>
    <x v="0"/>
  </r>
  <r>
    <x v="5"/>
    <x v="1"/>
    <x v="0"/>
    <x v="0"/>
    <x v="1"/>
  </r>
  <r>
    <x v="5"/>
    <x v="0"/>
    <x v="1"/>
    <x v="0"/>
    <x v="1"/>
  </r>
  <r>
    <x v="5"/>
    <x v="0"/>
    <x v="1"/>
    <x v="2"/>
    <x v="2"/>
  </r>
  <r>
    <x v="5"/>
    <x v="0"/>
    <x v="1"/>
    <x v="1"/>
    <x v="0"/>
  </r>
  <r>
    <x v="5"/>
    <x v="1"/>
    <x v="0"/>
    <x v="0"/>
    <x v="1"/>
  </r>
  <r>
    <x v="5"/>
    <x v="0"/>
    <x v="1"/>
    <x v="1"/>
    <x v="0"/>
  </r>
  <r>
    <x v="5"/>
    <x v="1"/>
    <x v="0"/>
    <x v="2"/>
    <x v="2"/>
  </r>
  <r>
    <x v="6"/>
    <x v="1"/>
    <x v="0"/>
    <x v="1"/>
    <x v="0"/>
  </r>
  <r>
    <x v="6"/>
    <x v="0"/>
    <x v="1"/>
    <x v="0"/>
    <x v="1"/>
  </r>
  <r>
    <x v="6"/>
    <x v="1"/>
    <x v="0"/>
    <x v="0"/>
    <x v="1"/>
  </r>
  <r>
    <x v="6"/>
    <x v="1"/>
    <x v="0"/>
    <x v="0"/>
    <x v="1"/>
  </r>
  <r>
    <x v="6"/>
    <x v="0"/>
    <x v="1"/>
    <x v="0"/>
    <x v="1"/>
  </r>
  <r>
    <x v="6"/>
    <x v="0"/>
    <x v="1"/>
    <x v="2"/>
    <x v="2"/>
  </r>
  <r>
    <x v="6"/>
    <x v="0"/>
    <x v="1"/>
    <x v="1"/>
    <x v="0"/>
  </r>
  <r>
    <x v="6"/>
    <x v="1"/>
    <x v="0"/>
    <x v="1"/>
    <x v="0"/>
  </r>
  <r>
    <x v="6"/>
    <x v="1"/>
    <x v="0"/>
    <x v="1"/>
    <x v="0"/>
  </r>
  <r>
    <x v="6"/>
    <x v="0"/>
    <x v="1"/>
    <x v="1"/>
    <x v="0"/>
  </r>
  <r>
    <x v="6"/>
    <x v="1"/>
    <x v="0"/>
    <x v="2"/>
    <x v="2"/>
  </r>
  <r>
    <x v="6"/>
    <x v="0"/>
    <x v="1"/>
    <x v="1"/>
    <x v="0"/>
  </r>
  <r>
    <x v="6"/>
    <x v="0"/>
    <x v="1"/>
    <x v="0"/>
    <x v="1"/>
  </r>
  <r>
    <x v="6"/>
    <x v="1"/>
    <x v="0"/>
    <x v="0"/>
    <x v="1"/>
  </r>
  <r>
    <x v="6"/>
    <x v="1"/>
    <x v="0"/>
    <x v="2"/>
    <x v="2"/>
  </r>
  <r>
    <x v="6"/>
    <x v="1"/>
    <x v="0"/>
    <x v="2"/>
    <x v="2"/>
  </r>
  <r>
    <x v="6"/>
    <x v="1"/>
    <x v="0"/>
    <x v="2"/>
    <x v="2"/>
  </r>
  <r>
    <x v="6"/>
    <x v="0"/>
    <x v="1"/>
    <x v="0"/>
    <x v="1"/>
  </r>
  <r>
    <x v="7"/>
    <x v="1"/>
    <x v="0"/>
    <x v="0"/>
    <x v="1"/>
  </r>
  <r>
    <x v="7"/>
    <x v="0"/>
    <x v="1"/>
    <x v="0"/>
    <x v="1"/>
  </r>
  <r>
    <x v="7"/>
    <x v="0"/>
    <x v="1"/>
    <x v="1"/>
    <x v="0"/>
  </r>
  <r>
    <x v="7"/>
    <x v="0"/>
    <x v="1"/>
    <x v="2"/>
    <x v="2"/>
  </r>
  <r>
    <x v="7"/>
    <x v="0"/>
    <x v="1"/>
    <x v="0"/>
    <x v="1"/>
  </r>
  <r>
    <x v="7"/>
    <x v="1"/>
    <x v="0"/>
    <x v="1"/>
    <x v="0"/>
  </r>
  <r>
    <x v="7"/>
    <x v="1"/>
    <x v="0"/>
    <x v="0"/>
    <x v="1"/>
  </r>
  <r>
    <x v="7"/>
    <x v="1"/>
    <x v="0"/>
    <x v="2"/>
    <x v="2"/>
  </r>
  <r>
    <x v="7"/>
    <x v="0"/>
    <x v="1"/>
    <x v="0"/>
    <x v="1"/>
  </r>
  <r>
    <x v="7"/>
    <x v="0"/>
    <x v="1"/>
    <x v="0"/>
    <x v="1"/>
  </r>
  <r>
    <x v="7"/>
    <x v="0"/>
    <x v="1"/>
    <x v="2"/>
    <x v="2"/>
  </r>
  <r>
    <x v="7"/>
    <x v="0"/>
    <x v="1"/>
    <x v="1"/>
    <x v="0"/>
  </r>
  <r>
    <x v="7"/>
    <x v="1"/>
    <x v="0"/>
    <x v="0"/>
    <x v="1"/>
  </r>
  <r>
    <x v="7"/>
    <x v="0"/>
    <x v="1"/>
    <x v="2"/>
    <x v="2"/>
  </r>
  <r>
    <x v="7"/>
    <x v="1"/>
    <x v="0"/>
    <x v="1"/>
    <x v="0"/>
  </r>
  <r>
    <x v="7"/>
    <x v="1"/>
    <x v="0"/>
    <x v="2"/>
    <x v="2"/>
  </r>
  <r>
    <x v="7"/>
    <x v="0"/>
    <x v="1"/>
    <x v="0"/>
    <x v="1"/>
  </r>
  <r>
    <x v="7"/>
    <x v="0"/>
    <x v="1"/>
    <x v="0"/>
    <x v="1"/>
  </r>
  <r>
    <x v="7"/>
    <x v="1"/>
    <x v="0"/>
    <x v="0"/>
    <x v="1"/>
  </r>
  <r>
    <x v="7"/>
    <x v="0"/>
    <x v="1"/>
    <x v="0"/>
    <x v="1"/>
  </r>
  <r>
    <x v="7"/>
    <x v="1"/>
    <x v="0"/>
    <x v="2"/>
    <x v="2"/>
  </r>
  <r>
    <x v="8"/>
    <x v="1"/>
    <x v="0"/>
    <x v="1"/>
    <x v="0"/>
  </r>
  <r>
    <x v="8"/>
    <x v="0"/>
    <x v="1"/>
    <x v="1"/>
    <x v="0"/>
  </r>
  <r>
    <x v="8"/>
    <x v="0"/>
    <x v="1"/>
    <x v="0"/>
    <x v="1"/>
  </r>
  <r>
    <x v="8"/>
    <x v="0"/>
    <x v="1"/>
    <x v="0"/>
    <x v="1"/>
  </r>
  <r>
    <x v="8"/>
    <x v="0"/>
    <x v="1"/>
    <x v="1"/>
    <x v="0"/>
  </r>
  <r>
    <x v="8"/>
    <x v="0"/>
    <x v="1"/>
    <x v="2"/>
    <x v="2"/>
  </r>
  <r>
    <x v="8"/>
    <x v="0"/>
    <x v="1"/>
    <x v="0"/>
    <x v="1"/>
  </r>
  <r>
    <x v="8"/>
    <x v="0"/>
    <x v="1"/>
    <x v="0"/>
    <x v="1"/>
  </r>
  <r>
    <x v="8"/>
    <x v="0"/>
    <x v="1"/>
    <x v="1"/>
    <x v="0"/>
  </r>
  <r>
    <x v="8"/>
    <x v="0"/>
    <x v="1"/>
    <x v="0"/>
    <x v="1"/>
  </r>
  <r>
    <x v="8"/>
    <x v="1"/>
    <x v="0"/>
    <x v="2"/>
    <x v="2"/>
  </r>
  <r>
    <x v="8"/>
    <x v="1"/>
    <x v="0"/>
    <x v="2"/>
    <x v="2"/>
  </r>
  <r>
    <x v="8"/>
    <x v="0"/>
    <x v="1"/>
    <x v="2"/>
    <x v="2"/>
  </r>
  <r>
    <x v="8"/>
    <x v="1"/>
    <x v="0"/>
    <x v="1"/>
    <x v="0"/>
  </r>
  <r>
    <x v="8"/>
    <x v="0"/>
    <x v="1"/>
    <x v="0"/>
    <x v="1"/>
  </r>
  <r>
    <x v="8"/>
    <x v="0"/>
    <x v="1"/>
    <x v="0"/>
    <x v="1"/>
  </r>
  <r>
    <x v="8"/>
    <x v="0"/>
    <x v="1"/>
    <x v="0"/>
    <x v="1"/>
  </r>
  <r>
    <x v="8"/>
    <x v="0"/>
    <x v="1"/>
    <x v="2"/>
    <x v="2"/>
  </r>
  <r>
    <x v="8"/>
    <x v="1"/>
    <x v="0"/>
    <x v="1"/>
    <x v="0"/>
  </r>
  <r>
    <x v="8"/>
    <x v="0"/>
    <x v="1"/>
    <x v="1"/>
    <x v="0"/>
  </r>
  <r>
    <x v="8"/>
    <x v="0"/>
    <x v="1"/>
    <x v="1"/>
    <x v="0"/>
  </r>
  <r>
    <x v="8"/>
    <x v="0"/>
    <x v="1"/>
    <x v="1"/>
    <x v="0"/>
  </r>
  <r>
    <x v="8"/>
    <x v="1"/>
    <x v="0"/>
    <x v="0"/>
    <x v="1"/>
  </r>
  <r>
    <x v="8"/>
    <x v="1"/>
    <x v="0"/>
    <x v="1"/>
    <x v="0"/>
  </r>
  <r>
    <x v="8"/>
    <x v="1"/>
    <x v="0"/>
    <x v="0"/>
    <x v="1"/>
  </r>
  <r>
    <x v="9"/>
    <x v="1"/>
    <x v="0"/>
    <x v="1"/>
    <x v="0"/>
  </r>
  <r>
    <x v="9"/>
    <x v="1"/>
    <x v="0"/>
    <x v="2"/>
    <x v="2"/>
  </r>
  <r>
    <x v="9"/>
    <x v="1"/>
    <x v="0"/>
    <x v="0"/>
    <x v="1"/>
  </r>
  <r>
    <x v="9"/>
    <x v="1"/>
    <x v="0"/>
    <x v="0"/>
    <x v="1"/>
  </r>
  <r>
    <x v="9"/>
    <x v="1"/>
    <x v="0"/>
    <x v="0"/>
    <x v="1"/>
  </r>
  <r>
    <x v="9"/>
    <x v="0"/>
    <x v="1"/>
    <x v="2"/>
    <x v="2"/>
  </r>
  <r>
    <x v="9"/>
    <x v="0"/>
    <x v="1"/>
    <x v="2"/>
    <x v="2"/>
  </r>
  <r>
    <x v="9"/>
    <x v="1"/>
    <x v="0"/>
    <x v="1"/>
    <x v="0"/>
  </r>
  <r>
    <x v="9"/>
    <x v="0"/>
    <x v="1"/>
    <x v="1"/>
    <x v="0"/>
  </r>
  <r>
    <x v="9"/>
    <x v="0"/>
    <x v="1"/>
    <x v="1"/>
    <x v="0"/>
  </r>
  <r>
    <x v="9"/>
    <x v="0"/>
    <x v="1"/>
    <x v="2"/>
    <x v="2"/>
  </r>
  <r>
    <x v="9"/>
    <x v="1"/>
    <x v="0"/>
    <x v="2"/>
    <x v="2"/>
  </r>
  <r>
    <x v="9"/>
    <x v="1"/>
    <x v="0"/>
    <x v="0"/>
    <x v="1"/>
  </r>
  <r>
    <x v="9"/>
    <x v="0"/>
    <x v="1"/>
    <x v="1"/>
    <x v="0"/>
  </r>
  <r>
    <x v="9"/>
    <x v="0"/>
    <x v="1"/>
    <x v="2"/>
    <x v="2"/>
  </r>
  <r>
    <x v="9"/>
    <x v="1"/>
    <x v="0"/>
    <x v="2"/>
    <x v="2"/>
  </r>
  <r>
    <x v="9"/>
    <x v="1"/>
    <x v="0"/>
    <x v="1"/>
    <x v="0"/>
  </r>
  <r>
    <x v="9"/>
    <x v="0"/>
    <x v="1"/>
    <x v="0"/>
    <x v="1"/>
  </r>
  <r>
    <x v="9"/>
    <x v="0"/>
    <x v="1"/>
    <x v="2"/>
    <x v="2"/>
  </r>
  <r>
    <x v="9"/>
    <x v="1"/>
    <x v="0"/>
    <x v="2"/>
    <x v="2"/>
  </r>
  <r>
    <x v="9"/>
    <x v="1"/>
    <x v="0"/>
    <x v="0"/>
    <x v="1"/>
  </r>
  <r>
    <x v="9"/>
    <x v="1"/>
    <x v="0"/>
    <x v="1"/>
    <x v="0"/>
  </r>
  <r>
    <x v="9"/>
    <x v="1"/>
    <x v="0"/>
    <x v="1"/>
    <x v="0"/>
  </r>
  <r>
    <x v="9"/>
    <x v="0"/>
    <x v="1"/>
    <x v="0"/>
    <x v="1"/>
  </r>
  <r>
    <x v="9"/>
    <x v="1"/>
    <x v="0"/>
    <x v="0"/>
    <x v="1"/>
  </r>
  <r>
    <x v="9"/>
    <x v="1"/>
    <x v="0"/>
    <x v="1"/>
    <x v="0"/>
  </r>
  <r>
    <x v="9"/>
    <x v="1"/>
    <x v="0"/>
    <x v="1"/>
    <x v="0"/>
  </r>
  <r>
    <x v="9"/>
    <x v="1"/>
    <x v="0"/>
    <x v="2"/>
    <x v="2"/>
  </r>
  <r>
    <x v="9"/>
    <x v="1"/>
    <x v="0"/>
    <x v="2"/>
    <x v="2"/>
  </r>
  <r>
    <x v="9"/>
    <x v="0"/>
    <x v="1"/>
    <x v="0"/>
    <x v="1"/>
  </r>
  <r>
    <x v="9"/>
    <x v="1"/>
    <x v="0"/>
    <x v="1"/>
    <x v="0"/>
  </r>
  <r>
    <x v="9"/>
    <x v="0"/>
    <x v="1"/>
    <x v="1"/>
    <x v="0"/>
  </r>
  <r>
    <x v="9"/>
    <x v="0"/>
    <x v="1"/>
    <x v="1"/>
    <x v="0"/>
  </r>
  <r>
    <x v="10"/>
    <x v="1"/>
    <x v="0"/>
    <x v="1"/>
    <x v="0"/>
  </r>
  <r>
    <x v="10"/>
    <x v="0"/>
    <x v="1"/>
    <x v="2"/>
    <x v="2"/>
  </r>
  <r>
    <x v="10"/>
    <x v="0"/>
    <x v="1"/>
    <x v="2"/>
    <x v="2"/>
  </r>
  <r>
    <x v="10"/>
    <x v="1"/>
    <x v="0"/>
    <x v="0"/>
    <x v="1"/>
  </r>
  <r>
    <x v="10"/>
    <x v="0"/>
    <x v="1"/>
    <x v="2"/>
    <x v="2"/>
  </r>
  <r>
    <x v="10"/>
    <x v="0"/>
    <x v="1"/>
    <x v="1"/>
    <x v="0"/>
  </r>
  <r>
    <x v="10"/>
    <x v="1"/>
    <x v="0"/>
    <x v="0"/>
    <x v="1"/>
  </r>
  <r>
    <x v="10"/>
    <x v="0"/>
    <x v="1"/>
    <x v="2"/>
    <x v="2"/>
  </r>
  <r>
    <x v="10"/>
    <x v="0"/>
    <x v="1"/>
    <x v="1"/>
    <x v="0"/>
  </r>
  <r>
    <x v="10"/>
    <x v="0"/>
    <x v="1"/>
    <x v="0"/>
    <x v="1"/>
  </r>
  <r>
    <x v="10"/>
    <x v="0"/>
    <x v="1"/>
    <x v="0"/>
    <x v="1"/>
  </r>
  <r>
    <x v="10"/>
    <x v="1"/>
    <x v="0"/>
    <x v="0"/>
    <x v="1"/>
  </r>
  <r>
    <x v="10"/>
    <x v="0"/>
    <x v="1"/>
    <x v="0"/>
    <x v="1"/>
  </r>
  <r>
    <x v="10"/>
    <x v="0"/>
    <x v="1"/>
    <x v="0"/>
    <x v="1"/>
  </r>
  <r>
    <x v="10"/>
    <x v="0"/>
    <x v="1"/>
    <x v="1"/>
    <x v="0"/>
  </r>
  <r>
    <x v="10"/>
    <x v="0"/>
    <x v="1"/>
    <x v="1"/>
    <x v="0"/>
  </r>
  <r>
    <x v="10"/>
    <x v="1"/>
    <x v="0"/>
    <x v="0"/>
    <x v="1"/>
  </r>
  <r>
    <x v="10"/>
    <x v="0"/>
    <x v="1"/>
    <x v="2"/>
    <x v="2"/>
  </r>
  <r>
    <x v="10"/>
    <x v="0"/>
    <x v="1"/>
    <x v="2"/>
    <x v="2"/>
  </r>
  <r>
    <x v="10"/>
    <x v="0"/>
    <x v="1"/>
    <x v="0"/>
    <x v="1"/>
  </r>
  <r>
    <x v="10"/>
    <x v="0"/>
    <x v="1"/>
    <x v="2"/>
    <x v="2"/>
  </r>
  <r>
    <x v="10"/>
    <x v="0"/>
    <x v="1"/>
    <x v="0"/>
    <x v="1"/>
  </r>
  <r>
    <x v="10"/>
    <x v="1"/>
    <x v="0"/>
    <x v="0"/>
    <x v="1"/>
  </r>
  <r>
    <x v="10"/>
    <x v="0"/>
    <x v="1"/>
    <x v="1"/>
    <x v="0"/>
  </r>
  <r>
    <x v="10"/>
    <x v="0"/>
    <x v="1"/>
    <x v="1"/>
    <x v="0"/>
  </r>
  <r>
    <x v="10"/>
    <x v="1"/>
    <x v="0"/>
    <x v="1"/>
    <x v="0"/>
  </r>
  <r>
    <x v="10"/>
    <x v="0"/>
    <x v="1"/>
    <x v="0"/>
    <x v="1"/>
  </r>
  <r>
    <x v="11"/>
    <x v="1"/>
    <x v="0"/>
    <x v="0"/>
    <x v="1"/>
  </r>
  <r>
    <x v="11"/>
    <x v="1"/>
    <x v="0"/>
    <x v="2"/>
    <x v="2"/>
  </r>
  <r>
    <x v="11"/>
    <x v="0"/>
    <x v="1"/>
    <x v="1"/>
    <x v="0"/>
  </r>
  <r>
    <x v="11"/>
    <x v="1"/>
    <x v="0"/>
    <x v="0"/>
    <x v="1"/>
  </r>
  <r>
    <x v="11"/>
    <x v="1"/>
    <x v="0"/>
    <x v="0"/>
    <x v="1"/>
  </r>
  <r>
    <x v="11"/>
    <x v="1"/>
    <x v="0"/>
    <x v="2"/>
    <x v="2"/>
  </r>
  <r>
    <x v="11"/>
    <x v="0"/>
    <x v="1"/>
    <x v="0"/>
    <x v="1"/>
  </r>
  <r>
    <x v="11"/>
    <x v="0"/>
    <x v="1"/>
    <x v="1"/>
    <x v="0"/>
  </r>
  <r>
    <x v="11"/>
    <x v="1"/>
    <x v="0"/>
    <x v="0"/>
    <x v="1"/>
  </r>
  <r>
    <x v="11"/>
    <x v="1"/>
    <x v="0"/>
    <x v="1"/>
    <x v="0"/>
  </r>
  <r>
    <x v="11"/>
    <x v="0"/>
    <x v="1"/>
    <x v="2"/>
    <x v="2"/>
  </r>
  <r>
    <x v="11"/>
    <x v="0"/>
    <x v="1"/>
    <x v="2"/>
    <x v="2"/>
  </r>
  <r>
    <x v="11"/>
    <x v="0"/>
    <x v="1"/>
    <x v="2"/>
    <x v="2"/>
  </r>
  <r>
    <x v="11"/>
    <x v="0"/>
    <x v="1"/>
    <x v="2"/>
    <x v="2"/>
  </r>
  <r>
    <x v="11"/>
    <x v="0"/>
    <x v="1"/>
    <x v="1"/>
    <x v="0"/>
  </r>
  <r>
    <x v="11"/>
    <x v="1"/>
    <x v="0"/>
    <x v="1"/>
    <x v="0"/>
  </r>
  <r>
    <x v="11"/>
    <x v="1"/>
    <x v="0"/>
    <x v="2"/>
    <x v="2"/>
  </r>
  <r>
    <x v="11"/>
    <x v="0"/>
    <x v="1"/>
    <x v="2"/>
    <x v="2"/>
  </r>
  <r>
    <x v="11"/>
    <x v="1"/>
    <x v="0"/>
    <x v="0"/>
    <x v="1"/>
  </r>
  <r>
    <x v="11"/>
    <x v="1"/>
    <x v="0"/>
    <x v="0"/>
    <x v="1"/>
  </r>
  <r>
    <x v="11"/>
    <x v="1"/>
    <x v="0"/>
    <x v="0"/>
    <x v="1"/>
  </r>
  <r>
    <x v="11"/>
    <x v="0"/>
    <x v="1"/>
    <x v="2"/>
    <x v="2"/>
  </r>
  <r>
    <x v="11"/>
    <x v="1"/>
    <x v="0"/>
    <x v="0"/>
    <x v="1"/>
  </r>
  <r>
    <x v="11"/>
    <x v="1"/>
    <x v="0"/>
    <x v="1"/>
    <x v="0"/>
  </r>
  <r>
    <x v="11"/>
    <x v="1"/>
    <x v="0"/>
    <x v="1"/>
    <x v="0"/>
  </r>
  <r>
    <x v="12"/>
    <x v="1"/>
    <x v="0"/>
    <x v="1"/>
    <x v="0"/>
  </r>
  <r>
    <x v="12"/>
    <x v="0"/>
    <x v="1"/>
    <x v="2"/>
    <x v="2"/>
  </r>
  <r>
    <x v="12"/>
    <x v="0"/>
    <x v="1"/>
    <x v="2"/>
    <x v="2"/>
  </r>
  <r>
    <x v="12"/>
    <x v="0"/>
    <x v="1"/>
    <x v="2"/>
    <x v="2"/>
  </r>
  <r>
    <x v="12"/>
    <x v="1"/>
    <x v="0"/>
    <x v="1"/>
    <x v="0"/>
  </r>
  <r>
    <x v="12"/>
    <x v="1"/>
    <x v="0"/>
    <x v="2"/>
    <x v="2"/>
  </r>
  <r>
    <x v="12"/>
    <x v="1"/>
    <x v="0"/>
    <x v="0"/>
    <x v="1"/>
  </r>
  <r>
    <x v="12"/>
    <x v="0"/>
    <x v="1"/>
    <x v="0"/>
    <x v="1"/>
  </r>
  <r>
    <x v="12"/>
    <x v="0"/>
    <x v="1"/>
    <x v="2"/>
    <x v="2"/>
  </r>
  <r>
    <x v="12"/>
    <x v="1"/>
    <x v="0"/>
    <x v="1"/>
    <x v="0"/>
  </r>
  <r>
    <x v="12"/>
    <x v="1"/>
    <x v="0"/>
    <x v="1"/>
    <x v="0"/>
  </r>
  <r>
    <x v="12"/>
    <x v="1"/>
    <x v="0"/>
    <x v="1"/>
    <x v="0"/>
  </r>
  <r>
    <x v="12"/>
    <x v="0"/>
    <x v="1"/>
    <x v="2"/>
    <x v="2"/>
  </r>
  <r>
    <x v="12"/>
    <x v="1"/>
    <x v="0"/>
    <x v="2"/>
    <x v="2"/>
  </r>
  <r>
    <x v="12"/>
    <x v="0"/>
    <x v="1"/>
    <x v="0"/>
    <x v="1"/>
  </r>
  <r>
    <x v="12"/>
    <x v="0"/>
    <x v="1"/>
    <x v="2"/>
    <x v="2"/>
  </r>
  <r>
    <x v="12"/>
    <x v="0"/>
    <x v="1"/>
    <x v="0"/>
    <x v="1"/>
  </r>
  <r>
    <x v="12"/>
    <x v="1"/>
    <x v="0"/>
    <x v="1"/>
    <x v="0"/>
  </r>
  <r>
    <x v="12"/>
    <x v="1"/>
    <x v="0"/>
    <x v="1"/>
    <x v="0"/>
  </r>
  <r>
    <x v="12"/>
    <x v="1"/>
    <x v="0"/>
    <x v="1"/>
    <x v="0"/>
  </r>
  <r>
    <x v="12"/>
    <x v="0"/>
    <x v="1"/>
    <x v="0"/>
    <x v="1"/>
  </r>
  <r>
    <x v="12"/>
    <x v="1"/>
    <x v="0"/>
    <x v="0"/>
    <x v="1"/>
  </r>
  <r>
    <x v="12"/>
    <x v="0"/>
    <x v="1"/>
    <x v="2"/>
    <x v="2"/>
  </r>
  <r>
    <x v="12"/>
    <x v="0"/>
    <x v="1"/>
    <x v="0"/>
    <x v="1"/>
  </r>
  <r>
    <x v="12"/>
    <x v="1"/>
    <x v="0"/>
    <x v="1"/>
    <x v="0"/>
  </r>
  <r>
    <x v="12"/>
    <x v="0"/>
    <x v="1"/>
    <x v="1"/>
    <x v="0"/>
  </r>
  <r>
    <x v="12"/>
    <x v="1"/>
    <x v="0"/>
    <x v="1"/>
    <x v="0"/>
  </r>
  <r>
    <x v="12"/>
    <x v="0"/>
    <x v="1"/>
    <x v="2"/>
    <x v="2"/>
  </r>
  <r>
    <x v="12"/>
    <x v="0"/>
    <x v="1"/>
    <x v="2"/>
    <x v="2"/>
  </r>
  <r>
    <x v="12"/>
    <x v="1"/>
    <x v="0"/>
    <x v="0"/>
    <x v="1"/>
  </r>
  <r>
    <x v="12"/>
    <x v="1"/>
    <x v="0"/>
    <x v="2"/>
    <x v="2"/>
  </r>
  <r>
    <x v="12"/>
    <x v="1"/>
    <x v="0"/>
    <x v="0"/>
    <x v="1"/>
  </r>
  <r>
    <x v="12"/>
    <x v="1"/>
    <x v="0"/>
    <x v="2"/>
    <x v="2"/>
  </r>
  <r>
    <x v="12"/>
    <x v="0"/>
    <x v="1"/>
    <x v="0"/>
    <x v="1"/>
  </r>
  <r>
    <x v="12"/>
    <x v="0"/>
    <x v="1"/>
    <x v="0"/>
    <x v="1"/>
  </r>
  <r>
    <x v="13"/>
    <x v="1"/>
    <x v="0"/>
    <x v="0"/>
    <x v="1"/>
  </r>
  <r>
    <x v="13"/>
    <x v="1"/>
    <x v="0"/>
    <x v="0"/>
    <x v="1"/>
  </r>
  <r>
    <x v="13"/>
    <x v="1"/>
    <x v="0"/>
    <x v="1"/>
    <x v="0"/>
  </r>
  <r>
    <x v="13"/>
    <x v="1"/>
    <x v="0"/>
    <x v="0"/>
    <x v="1"/>
  </r>
  <r>
    <x v="13"/>
    <x v="1"/>
    <x v="0"/>
    <x v="1"/>
    <x v="0"/>
  </r>
  <r>
    <x v="13"/>
    <x v="1"/>
    <x v="0"/>
    <x v="0"/>
    <x v="1"/>
  </r>
  <r>
    <x v="13"/>
    <x v="0"/>
    <x v="1"/>
    <x v="2"/>
    <x v="2"/>
  </r>
  <r>
    <x v="13"/>
    <x v="1"/>
    <x v="0"/>
    <x v="2"/>
    <x v="2"/>
  </r>
  <r>
    <x v="13"/>
    <x v="1"/>
    <x v="0"/>
    <x v="1"/>
    <x v="0"/>
  </r>
  <r>
    <x v="13"/>
    <x v="1"/>
    <x v="0"/>
    <x v="1"/>
    <x v="0"/>
  </r>
  <r>
    <x v="13"/>
    <x v="1"/>
    <x v="0"/>
    <x v="2"/>
    <x v="2"/>
  </r>
  <r>
    <x v="13"/>
    <x v="0"/>
    <x v="1"/>
    <x v="0"/>
    <x v="1"/>
  </r>
  <r>
    <x v="13"/>
    <x v="0"/>
    <x v="1"/>
    <x v="0"/>
    <x v="1"/>
  </r>
  <r>
    <x v="13"/>
    <x v="1"/>
    <x v="0"/>
    <x v="2"/>
    <x v="2"/>
  </r>
  <r>
    <x v="13"/>
    <x v="1"/>
    <x v="0"/>
    <x v="1"/>
    <x v="0"/>
  </r>
  <r>
    <x v="13"/>
    <x v="1"/>
    <x v="0"/>
    <x v="1"/>
    <x v="0"/>
  </r>
  <r>
    <x v="13"/>
    <x v="1"/>
    <x v="0"/>
    <x v="2"/>
    <x v="2"/>
  </r>
  <r>
    <x v="13"/>
    <x v="0"/>
    <x v="1"/>
    <x v="2"/>
    <x v="2"/>
  </r>
  <r>
    <x v="14"/>
    <x v="0"/>
    <x v="1"/>
    <x v="2"/>
    <x v="2"/>
  </r>
  <r>
    <x v="14"/>
    <x v="0"/>
    <x v="1"/>
    <x v="2"/>
    <x v="2"/>
  </r>
  <r>
    <x v="14"/>
    <x v="1"/>
    <x v="0"/>
    <x v="0"/>
    <x v="1"/>
  </r>
  <r>
    <x v="14"/>
    <x v="0"/>
    <x v="1"/>
    <x v="0"/>
    <x v="1"/>
  </r>
  <r>
    <x v="14"/>
    <x v="0"/>
    <x v="1"/>
    <x v="2"/>
    <x v="2"/>
  </r>
  <r>
    <x v="14"/>
    <x v="1"/>
    <x v="0"/>
    <x v="0"/>
    <x v="1"/>
  </r>
  <r>
    <x v="14"/>
    <x v="0"/>
    <x v="1"/>
    <x v="2"/>
    <x v="2"/>
  </r>
  <r>
    <x v="14"/>
    <x v="1"/>
    <x v="0"/>
    <x v="2"/>
    <x v="2"/>
  </r>
  <r>
    <x v="14"/>
    <x v="0"/>
    <x v="1"/>
    <x v="1"/>
    <x v="0"/>
  </r>
  <r>
    <x v="14"/>
    <x v="1"/>
    <x v="0"/>
    <x v="1"/>
    <x v="0"/>
  </r>
  <r>
    <x v="14"/>
    <x v="0"/>
    <x v="1"/>
    <x v="0"/>
    <x v="1"/>
  </r>
  <r>
    <x v="14"/>
    <x v="1"/>
    <x v="0"/>
    <x v="1"/>
    <x v="0"/>
  </r>
  <r>
    <x v="14"/>
    <x v="1"/>
    <x v="0"/>
    <x v="0"/>
    <x v="1"/>
  </r>
  <r>
    <x v="15"/>
    <x v="0"/>
    <x v="1"/>
    <x v="2"/>
    <x v="2"/>
  </r>
  <r>
    <x v="15"/>
    <x v="1"/>
    <x v="0"/>
    <x v="0"/>
    <x v="1"/>
  </r>
  <r>
    <x v="15"/>
    <x v="1"/>
    <x v="0"/>
    <x v="0"/>
    <x v="1"/>
  </r>
  <r>
    <x v="15"/>
    <x v="0"/>
    <x v="1"/>
    <x v="1"/>
    <x v="0"/>
  </r>
  <r>
    <x v="15"/>
    <x v="0"/>
    <x v="1"/>
    <x v="0"/>
    <x v="1"/>
  </r>
  <r>
    <x v="15"/>
    <x v="0"/>
    <x v="1"/>
    <x v="1"/>
    <x v="0"/>
  </r>
  <r>
    <x v="15"/>
    <x v="1"/>
    <x v="0"/>
    <x v="0"/>
    <x v="1"/>
  </r>
  <r>
    <x v="15"/>
    <x v="0"/>
    <x v="1"/>
    <x v="1"/>
    <x v="0"/>
  </r>
  <r>
    <x v="15"/>
    <x v="1"/>
    <x v="0"/>
    <x v="0"/>
    <x v="1"/>
  </r>
  <r>
    <x v="15"/>
    <x v="1"/>
    <x v="0"/>
    <x v="1"/>
    <x v="0"/>
  </r>
  <r>
    <x v="15"/>
    <x v="1"/>
    <x v="0"/>
    <x v="2"/>
    <x v="2"/>
  </r>
  <r>
    <x v="15"/>
    <x v="0"/>
    <x v="1"/>
    <x v="0"/>
    <x v="1"/>
  </r>
  <r>
    <x v="15"/>
    <x v="1"/>
    <x v="0"/>
    <x v="1"/>
    <x v="0"/>
  </r>
  <r>
    <x v="15"/>
    <x v="1"/>
    <x v="0"/>
    <x v="2"/>
    <x v="2"/>
  </r>
  <r>
    <x v="15"/>
    <x v="0"/>
    <x v="1"/>
    <x v="2"/>
    <x v="2"/>
  </r>
  <r>
    <x v="15"/>
    <x v="0"/>
    <x v="1"/>
    <x v="0"/>
    <x v="1"/>
  </r>
  <r>
    <x v="15"/>
    <x v="0"/>
    <x v="1"/>
    <x v="0"/>
    <x v="1"/>
  </r>
  <r>
    <x v="15"/>
    <x v="1"/>
    <x v="0"/>
    <x v="0"/>
    <x v="1"/>
  </r>
  <r>
    <x v="15"/>
    <x v="1"/>
    <x v="0"/>
    <x v="2"/>
    <x v="2"/>
  </r>
  <r>
    <x v="15"/>
    <x v="1"/>
    <x v="0"/>
    <x v="0"/>
    <x v="1"/>
  </r>
  <r>
    <x v="15"/>
    <x v="0"/>
    <x v="1"/>
    <x v="1"/>
    <x v="0"/>
  </r>
  <r>
    <x v="16"/>
    <x v="0"/>
    <x v="1"/>
    <x v="0"/>
    <x v="1"/>
  </r>
  <r>
    <x v="16"/>
    <x v="0"/>
    <x v="1"/>
    <x v="2"/>
    <x v="2"/>
  </r>
  <r>
    <x v="16"/>
    <x v="1"/>
    <x v="0"/>
    <x v="1"/>
    <x v="0"/>
  </r>
  <r>
    <x v="16"/>
    <x v="0"/>
    <x v="1"/>
    <x v="1"/>
    <x v="0"/>
  </r>
  <r>
    <x v="16"/>
    <x v="1"/>
    <x v="0"/>
    <x v="1"/>
    <x v="0"/>
  </r>
  <r>
    <x v="16"/>
    <x v="1"/>
    <x v="0"/>
    <x v="2"/>
    <x v="2"/>
  </r>
  <r>
    <x v="16"/>
    <x v="1"/>
    <x v="0"/>
    <x v="2"/>
    <x v="2"/>
  </r>
  <r>
    <x v="16"/>
    <x v="1"/>
    <x v="0"/>
    <x v="2"/>
    <x v="2"/>
  </r>
  <r>
    <x v="16"/>
    <x v="1"/>
    <x v="0"/>
    <x v="2"/>
    <x v="2"/>
  </r>
  <r>
    <x v="16"/>
    <x v="1"/>
    <x v="0"/>
    <x v="1"/>
    <x v="0"/>
  </r>
  <r>
    <x v="16"/>
    <x v="1"/>
    <x v="0"/>
    <x v="0"/>
    <x v="1"/>
  </r>
  <r>
    <x v="17"/>
    <x v="0"/>
    <x v="1"/>
    <x v="2"/>
    <x v="2"/>
  </r>
  <r>
    <x v="17"/>
    <x v="1"/>
    <x v="0"/>
    <x v="1"/>
    <x v="0"/>
  </r>
  <r>
    <x v="17"/>
    <x v="1"/>
    <x v="0"/>
    <x v="1"/>
    <x v="0"/>
  </r>
  <r>
    <x v="17"/>
    <x v="1"/>
    <x v="0"/>
    <x v="0"/>
    <x v="1"/>
  </r>
  <r>
    <x v="17"/>
    <x v="0"/>
    <x v="1"/>
    <x v="1"/>
    <x v="0"/>
  </r>
  <r>
    <x v="17"/>
    <x v="0"/>
    <x v="1"/>
    <x v="2"/>
    <x v="2"/>
  </r>
  <r>
    <x v="17"/>
    <x v="1"/>
    <x v="0"/>
    <x v="2"/>
    <x v="2"/>
  </r>
  <r>
    <x v="17"/>
    <x v="1"/>
    <x v="0"/>
    <x v="1"/>
    <x v="0"/>
  </r>
  <r>
    <x v="17"/>
    <x v="1"/>
    <x v="0"/>
    <x v="0"/>
    <x v="1"/>
  </r>
  <r>
    <x v="17"/>
    <x v="1"/>
    <x v="0"/>
    <x v="1"/>
    <x v="0"/>
  </r>
  <r>
    <x v="17"/>
    <x v="1"/>
    <x v="0"/>
    <x v="0"/>
    <x v="1"/>
  </r>
  <r>
    <x v="17"/>
    <x v="0"/>
    <x v="1"/>
    <x v="1"/>
    <x v="0"/>
  </r>
  <r>
    <x v="17"/>
    <x v="0"/>
    <x v="1"/>
    <x v="1"/>
    <x v="0"/>
  </r>
  <r>
    <x v="17"/>
    <x v="0"/>
    <x v="1"/>
    <x v="0"/>
    <x v="1"/>
  </r>
  <r>
    <x v="17"/>
    <x v="0"/>
    <x v="1"/>
    <x v="2"/>
    <x v="2"/>
  </r>
  <r>
    <x v="17"/>
    <x v="0"/>
    <x v="1"/>
    <x v="0"/>
    <x v="1"/>
  </r>
  <r>
    <x v="17"/>
    <x v="1"/>
    <x v="0"/>
    <x v="0"/>
    <x v="1"/>
  </r>
  <r>
    <x v="17"/>
    <x v="1"/>
    <x v="0"/>
    <x v="2"/>
    <x v="2"/>
  </r>
  <r>
    <x v="17"/>
    <x v="1"/>
    <x v="0"/>
    <x v="0"/>
    <x v="1"/>
  </r>
  <r>
    <x v="18"/>
    <x v="1"/>
    <x v="0"/>
    <x v="1"/>
    <x v="0"/>
  </r>
  <r>
    <x v="18"/>
    <x v="1"/>
    <x v="0"/>
    <x v="0"/>
    <x v="1"/>
  </r>
  <r>
    <x v="18"/>
    <x v="0"/>
    <x v="1"/>
    <x v="0"/>
    <x v="1"/>
  </r>
  <r>
    <x v="18"/>
    <x v="0"/>
    <x v="1"/>
    <x v="0"/>
    <x v="1"/>
  </r>
  <r>
    <x v="18"/>
    <x v="0"/>
    <x v="1"/>
    <x v="2"/>
    <x v="2"/>
  </r>
  <r>
    <x v="18"/>
    <x v="0"/>
    <x v="1"/>
    <x v="0"/>
    <x v="1"/>
  </r>
  <r>
    <x v="18"/>
    <x v="0"/>
    <x v="1"/>
    <x v="1"/>
    <x v="0"/>
  </r>
  <r>
    <x v="18"/>
    <x v="1"/>
    <x v="0"/>
    <x v="1"/>
    <x v="0"/>
  </r>
  <r>
    <x v="18"/>
    <x v="1"/>
    <x v="0"/>
    <x v="1"/>
    <x v="0"/>
  </r>
  <r>
    <x v="18"/>
    <x v="0"/>
    <x v="1"/>
    <x v="2"/>
    <x v="2"/>
  </r>
  <r>
    <x v="18"/>
    <x v="1"/>
    <x v="0"/>
    <x v="2"/>
    <x v="2"/>
  </r>
  <r>
    <x v="18"/>
    <x v="0"/>
    <x v="1"/>
    <x v="1"/>
    <x v="0"/>
  </r>
  <r>
    <x v="18"/>
    <x v="1"/>
    <x v="0"/>
    <x v="2"/>
    <x v="2"/>
  </r>
  <r>
    <x v="18"/>
    <x v="0"/>
    <x v="1"/>
    <x v="2"/>
    <x v="2"/>
  </r>
  <r>
    <x v="18"/>
    <x v="0"/>
    <x v="1"/>
    <x v="0"/>
    <x v="1"/>
  </r>
  <r>
    <x v="18"/>
    <x v="0"/>
    <x v="1"/>
    <x v="1"/>
    <x v="0"/>
  </r>
  <r>
    <x v="19"/>
    <x v="0"/>
    <x v="1"/>
    <x v="0"/>
    <x v="1"/>
  </r>
  <r>
    <x v="19"/>
    <x v="0"/>
    <x v="1"/>
    <x v="1"/>
    <x v="0"/>
  </r>
  <r>
    <x v="19"/>
    <x v="0"/>
    <x v="1"/>
    <x v="1"/>
    <x v="0"/>
  </r>
  <r>
    <x v="19"/>
    <x v="1"/>
    <x v="0"/>
    <x v="0"/>
    <x v="1"/>
  </r>
  <r>
    <x v="19"/>
    <x v="1"/>
    <x v="0"/>
    <x v="1"/>
    <x v="0"/>
  </r>
  <r>
    <x v="19"/>
    <x v="0"/>
    <x v="1"/>
    <x v="0"/>
    <x v="1"/>
  </r>
  <r>
    <x v="19"/>
    <x v="0"/>
    <x v="1"/>
    <x v="2"/>
    <x v="2"/>
  </r>
  <r>
    <x v="19"/>
    <x v="1"/>
    <x v="0"/>
    <x v="2"/>
    <x v="2"/>
  </r>
  <r>
    <x v="19"/>
    <x v="1"/>
    <x v="0"/>
    <x v="0"/>
    <x v="1"/>
  </r>
  <r>
    <x v="19"/>
    <x v="0"/>
    <x v="1"/>
    <x v="2"/>
    <x v="2"/>
  </r>
  <r>
    <x v="19"/>
    <x v="1"/>
    <x v="0"/>
    <x v="2"/>
    <x v="2"/>
  </r>
  <r>
    <x v="19"/>
    <x v="1"/>
    <x v="0"/>
    <x v="1"/>
    <x v="0"/>
  </r>
  <r>
    <x v="19"/>
    <x v="0"/>
    <x v="1"/>
    <x v="0"/>
    <x v="1"/>
  </r>
  <r>
    <x v="19"/>
    <x v="0"/>
    <x v="1"/>
    <x v="2"/>
    <x v="2"/>
  </r>
  <r>
    <x v="19"/>
    <x v="0"/>
    <x v="1"/>
    <x v="2"/>
    <x v="2"/>
  </r>
  <r>
    <x v="19"/>
    <x v="0"/>
    <x v="1"/>
    <x v="0"/>
    <x v="1"/>
  </r>
  <r>
    <x v="19"/>
    <x v="1"/>
    <x v="0"/>
    <x v="0"/>
    <x v="1"/>
  </r>
  <r>
    <x v="19"/>
    <x v="1"/>
    <x v="0"/>
    <x v="1"/>
    <x v="0"/>
  </r>
  <r>
    <x v="19"/>
    <x v="0"/>
    <x v="1"/>
    <x v="0"/>
    <x v="1"/>
  </r>
  <r>
    <x v="20"/>
    <x v="1"/>
    <x v="0"/>
    <x v="1"/>
    <x v="0"/>
  </r>
  <r>
    <x v="20"/>
    <x v="0"/>
    <x v="1"/>
    <x v="0"/>
    <x v="1"/>
  </r>
  <r>
    <x v="20"/>
    <x v="0"/>
    <x v="1"/>
    <x v="2"/>
    <x v="2"/>
  </r>
  <r>
    <x v="20"/>
    <x v="1"/>
    <x v="0"/>
    <x v="1"/>
    <x v="0"/>
  </r>
  <r>
    <x v="20"/>
    <x v="1"/>
    <x v="0"/>
    <x v="1"/>
    <x v="0"/>
  </r>
  <r>
    <x v="20"/>
    <x v="1"/>
    <x v="0"/>
    <x v="1"/>
    <x v="0"/>
  </r>
  <r>
    <x v="20"/>
    <x v="0"/>
    <x v="1"/>
    <x v="2"/>
    <x v="2"/>
  </r>
  <r>
    <x v="20"/>
    <x v="0"/>
    <x v="1"/>
    <x v="2"/>
    <x v="2"/>
  </r>
  <r>
    <x v="20"/>
    <x v="1"/>
    <x v="0"/>
    <x v="2"/>
    <x v="2"/>
  </r>
  <r>
    <x v="20"/>
    <x v="0"/>
    <x v="1"/>
    <x v="1"/>
    <x v="0"/>
  </r>
  <r>
    <x v="20"/>
    <x v="1"/>
    <x v="0"/>
    <x v="2"/>
    <x v="2"/>
  </r>
  <r>
    <x v="20"/>
    <x v="0"/>
    <x v="1"/>
    <x v="0"/>
    <x v="1"/>
  </r>
  <r>
    <x v="20"/>
    <x v="1"/>
    <x v="0"/>
    <x v="2"/>
    <x v="2"/>
  </r>
  <r>
    <x v="20"/>
    <x v="1"/>
    <x v="0"/>
    <x v="1"/>
    <x v="0"/>
  </r>
  <r>
    <x v="20"/>
    <x v="0"/>
    <x v="1"/>
    <x v="2"/>
    <x v="2"/>
  </r>
  <r>
    <x v="20"/>
    <x v="0"/>
    <x v="1"/>
    <x v="1"/>
    <x v="0"/>
  </r>
  <r>
    <x v="20"/>
    <x v="1"/>
    <x v="0"/>
    <x v="0"/>
    <x v="1"/>
  </r>
  <r>
    <x v="20"/>
    <x v="1"/>
    <x v="0"/>
    <x v="1"/>
    <x v="0"/>
  </r>
  <r>
    <x v="20"/>
    <x v="0"/>
    <x v="1"/>
    <x v="1"/>
    <x v="0"/>
  </r>
  <r>
    <x v="20"/>
    <x v="1"/>
    <x v="0"/>
    <x v="1"/>
    <x v="0"/>
  </r>
  <r>
    <x v="20"/>
    <x v="0"/>
    <x v="1"/>
    <x v="2"/>
    <x v="2"/>
  </r>
  <r>
    <x v="20"/>
    <x v="0"/>
    <x v="1"/>
    <x v="1"/>
    <x v="0"/>
  </r>
  <r>
    <x v="20"/>
    <x v="0"/>
    <x v="1"/>
    <x v="2"/>
    <x v="2"/>
  </r>
  <r>
    <x v="20"/>
    <x v="0"/>
    <x v="1"/>
    <x v="0"/>
    <x v="1"/>
  </r>
  <r>
    <x v="20"/>
    <x v="1"/>
    <x v="0"/>
    <x v="2"/>
    <x v="2"/>
  </r>
  <r>
    <x v="20"/>
    <x v="0"/>
    <x v="1"/>
    <x v="2"/>
    <x v="2"/>
  </r>
  <r>
    <x v="20"/>
    <x v="1"/>
    <x v="0"/>
    <x v="2"/>
    <x v="2"/>
  </r>
  <r>
    <x v="20"/>
    <x v="0"/>
    <x v="1"/>
    <x v="0"/>
    <x v="1"/>
  </r>
  <r>
    <x v="20"/>
    <x v="1"/>
    <x v="0"/>
    <x v="1"/>
    <x v="0"/>
  </r>
  <r>
    <x v="20"/>
    <x v="1"/>
    <x v="0"/>
    <x v="0"/>
    <x v="1"/>
  </r>
  <r>
    <x v="20"/>
    <x v="0"/>
    <x v="1"/>
    <x v="2"/>
    <x v="2"/>
  </r>
  <r>
    <x v="20"/>
    <x v="0"/>
    <x v="1"/>
    <x v="0"/>
    <x v="1"/>
  </r>
  <r>
    <x v="20"/>
    <x v="0"/>
    <x v="1"/>
    <x v="2"/>
    <x v="2"/>
  </r>
  <r>
    <x v="20"/>
    <x v="1"/>
    <x v="0"/>
    <x v="1"/>
    <x v="0"/>
  </r>
  <r>
    <x v="20"/>
    <x v="1"/>
    <x v="0"/>
    <x v="2"/>
    <x v="2"/>
  </r>
  <r>
    <x v="20"/>
    <x v="0"/>
    <x v="1"/>
    <x v="1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1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9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3:E55" firstHeaderRow="0" firstDataRow="1" firstDataCol="1"/>
  <pivotFields count="5">
    <pivotField axis="axisRow" dataField="1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2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 v="21"/>
    </i>
  </rowItems>
  <colFields count="1">
    <field x="-2"/>
  </colFields>
  <colItems count="1">
    <i t="grand">
      <x v="0"/>
    </i>
  </colItems>
  <dataFields count="4">
    <dataField name="Age ****" fld="0" subtotal="sum" numFmtId="164"/>
    <dataField name="Age **" fld="0" numFmtId="164"/>
    <dataField name="Age ***" fld="0" numFmtId="164"/>
    <dataField name="Age ****" fld="0" numFmtId="164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3:C26" firstHeaderRow="0" firstDataRow="1" firstDataCol="1"/>
  <pivotFields count="5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 v="0"/>
    </i>
    <i>
      <x v="1"/>
    </i>
    <i t="grand">
      <x v="2"/>
    </i>
  </rowItems>
  <colFields count="1">
    <field x="-2"/>
  </colFields>
  <colItems count="1">
    <i t="grand">
      <x v="0"/>
    </i>
  </colItems>
  <dataFields count="2">
    <dataField name="Sexe_Libelle**" fld="2" subtotal="sum" numFmtId="164"/>
    <dataField name="Sexe_Libelle**" fld="2" numFmtId="164"/>
  </data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ableau croisé dynamique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5:C7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1">
    <i t="grand">
      <x v="0"/>
    </i>
  </rowItems>
  <colFields count="2">
    <field x="-2"/>
    <field x="4"/>
  </colFields>
  <colItems count="2">
    <i>
      <x v="0"/>
    </i>
    <i t="grand">
      <x v="1"/>
    </i>
  </colItems>
  <dataFields count="2">
    <dataField name="Avis_Libellé**" fld="4" subtotal="sum" numFmtId="164"/>
    <dataField name="Avis_Libellé**" fld="4" numFmtId="164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leau croisé dynamique2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70:C72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1">
    <i t="grand">
      <x v="0"/>
    </i>
  </rowItems>
  <colFields count="3">
    <field x="-2"/>
    <field x="2"/>
    <field x="4"/>
  </colFields>
  <colItems count="2">
    <i>
      <x v="0"/>
    </i>
    <i t="grand">
      <x v="1"/>
    </i>
  </colItems>
  <dataFields count="2">
    <dataField name="Avis_Libellé**" fld="4" subtotal="sum" numFmtId="164"/>
    <dataField name="Avis_Libellé**" fld="4" numFmtId="164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Tableau croisé dynamique20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7:B39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0"/>
  </rowFields>
  <rowItems count="1">
    <i t="grand">
      <x v="0"/>
    </i>
  </rowItems>
  <colFields count="2">
    <field x="2"/>
    <field x="4"/>
  </colFields>
  <colItems count="1">
    <i t="grand">
      <x v="0"/>
    </i>
  </colItems>
  <dataFields count="1">
    <dataField name="Nombre de Avis " fld="3" subtotal="count" numFmtId="164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Tableau croisé dynamique19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6:E8" firstHeaderRow="1" firstDataRow="2" firstDataCol="1"/>
  <pivotFields count="5">
    <pivotField axis="axisRow" dataField="1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showAll="0"/>
    <pivotField showAll="0"/>
  </pivotFields>
  <rowFields count="1">
    <field x="0"/>
  </rowFields>
  <rowItems count="1">
    <i t="grand">
      <x v="0"/>
    </i>
  </rowItems>
  <colFields count="2">
    <field x="-2"/>
    <field x="2"/>
  </colFields>
  <colItems count="4">
    <i>
      <x v="0"/>
    </i>
    <i>
      <x v="1"/>
    </i>
    <i>
      <x v="2"/>
    </i>
    <i t="grand">
      <x v="3"/>
    </i>
  </colItems>
  <dataFields count="4">
    <dataField name="Age ****" fld="0" subtotal="sum" numFmtId="164"/>
    <dataField name="Age **" fld="0" numFmtId="164"/>
    <dataField name="Age ***" fld="0" numFmtId="164"/>
    <dataField name="Age ****" fld="0" numFmtId="164"/>
  </dataFields>
  <pivotTableStyleInfo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Tableau croisé dynamique2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8:C40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x="0"/>
        <item h="1" x="1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1">
    <i t="grand">
      <x v="0"/>
    </i>
  </rowItems>
  <colFields count="3">
    <field x="-2"/>
    <field x="2"/>
    <field x="4"/>
  </colFields>
  <colItems count="2">
    <i>
      <x v="0"/>
    </i>
    <i t="grand">
      <x v="1"/>
    </i>
  </colItems>
  <dataFields count="2">
    <dataField name="Avis_Libellé**" fld="4" subtotal="sum" numFmtId="164"/>
    <dataField name="Avis_Libellé**" fld="4" numFmtId="164"/>
  </dataFields>
  <pivotTableStyleInfo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Tableau croisé dynamique17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6:E8" firstHeaderRow="1" firstDataRow="2" firstDataCol="1"/>
  <pivotFields count="5">
    <pivotField axis="axisRow" dataField="1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x="0"/>
        <item h="1" x="1"/>
        <item t="default"/>
      </items>
    </pivotField>
    <pivotField showAll="0"/>
    <pivotField showAll="0"/>
  </pivotFields>
  <rowFields count="1">
    <field x="0"/>
  </rowFields>
  <rowItems count="1">
    <i t="grand">
      <x v="0"/>
    </i>
  </rowItems>
  <colFields count="2">
    <field x="-2"/>
    <field x="2"/>
  </colFields>
  <colItems count="4">
    <i>
      <x v="0"/>
    </i>
    <i>
      <x v="1"/>
    </i>
    <i>
      <x v="2"/>
    </i>
    <i t="grand">
      <x v="3"/>
    </i>
  </colItems>
  <dataFields count="4">
    <dataField name="Age ****" fld="0" subtotal="sum" numFmtId="164"/>
    <dataField name="Age **" fld="0" numFmtId="164"/>
    <dataField name="Age ***" fld="0" numFmtId="164"/>
    <dataField name="Age ****" fld="0" numFmtId="164"/>
  </dataFields>
  <pivotTableStyleInfo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Tableau croisé dynamique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:C4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1">
    <i t="grand">
      <x v="0"/>
    </i>
  </rowItems>
  <colFields count="3">
    <field x="-2"/>
    <field x="2"/>
    <field x="4"/>
  </colFields>
  <colItems count="2">
    <i>
      <x v="0"/>
    </i>
    <i t="grand">
      <x v="1"/>
    </i>
  </colItems>
  <dataFields count="2">
    <dataField name="Avis_Libellé**" fld="4" subtotal="sum" numFmtId="164"/>
    <dataField name="Avis_Libellé**" fld="4" numFmtId="164"/>
  </dataFields>
  <pivotTableStyleInfo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Tableau croisé dynamiqu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5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</pivotFields>
  <rowFields count="1">
    <field x="0"/>
  </rowFields>
  <rowItems count="1">
    <i t="grand">
      <x v="0"/>
    </i>
  </rowItems>
  <colFields count="1">
    <field x="2"/>
  </colField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E7" firstHeaderRow="1" firstDataRow="2" firstDataCol="1"/>
  <pivotFields count="5"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3">
    <i>
      <x v="0"/>
    </i>
    <i>
      <x v="1"/>
    </i>
    <i t="grand">
      <x v="2"/>
    </i>
  </rowItems>
  <colFields count="1">
    <field x="4"/>
  </colFields>
  <colItems count="4">
    <i>
      <x v="0"/>
    </i>
    <i>
      <x v="1"/>
    </i>
    <i>
      <x v="2"/>
    </i>
    <i t="grand">
      <x v="3"/>
    </i>
  </colItems>
  <dataFields count="1">
    <dataField name="Nombre de Avis " fld="3" subtotal="count" numFmtId="164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/>
  <pivotFields count="5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 v="0"/>
    </i>
    <i>
      <x v="1"/>
    </i>
    <i t="grand">
      <x v="2"/>
    </i>
  </rowItem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Tableau croisé dynamique7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1:B13" firstHeaderRow="1" firstDataRow="1" firstDataCol="1"/>
  <pivotFields count="5"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</pivotFields>
  <rowFields count="1">
    <field x="2"/>
  </rowFields>
  <rowItems count="2">
    <i>
      <x v="0"/>
    </i>
    <i t="grand">
      <x v="1"/>
    </i>
  </rowItem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0:B22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dataField="1" showAll="0">
      <items count="3">
        <item h="1" x="0"/>
        <item x="1"/>
        <item t="default"/>
      </items>
    </pivotField>
    <pivotField showAll="0"/>
    <pivotField showAll="0"/>
  </pivotFields>
  <rowFields count="1">
    <field x="0"/>
  </rowFields>
  <rowItems count="1">
    <i t="grand">
      <x v="0"/>
    </i>
  </rowItems>
  <colFields count="1">
    <field x="2"/>
  </colField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7:B39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h="1" x="0"/>
        <item x="1"/>
        <item t="default"/>
      </items>
    </pivotField>
    <pivotField showAll="0"/>
    <pivotField dataField="1" showAll="0"/>
  </pivotFields>
  <rowFields count="1">
    <field x="0"/>
  </rowFields>
  <rowItems count="1">
    <i t="grand">
      <x v="0"/>
    </i>
  </rowItems>
  <colFields count="1">
    <field x="2"/>
  </colFields>
  <colItems count="1">
    <i t="grand">
      <x v="0"/>
    </i>
  </colItems>
  <dataFields count="1">
    <dataField name="Nombre de Avis_Libellé" fld="4" subtotal="count" numFmtId="164"/>
  </data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E6" firstHeaderRow="1" firstDataRow="2" firstDataCol="1"/>
  <pivotFields count="5"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2">
    <i>
      <x v="0"/>
    </i>
    <i t="grand">
      <x v="1"/>
    </i>
  </rowItems>
  <colFields count="1">
    <field x="4"/>
  </colFields>
  <colItems count="4">
    <i>
      <x v="0"/>
    </i>
    <i>
      <x v="1"/>
    </i>
    <i>
      <x v="2"/>
    </i>
    <i t="grand">
      <x v="3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20:B22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dataField="1" showAll="0">
      <items count="3">
        <item x="0"/>
        <item h="1" x="1"/>
        <item t="default"/>
      </items>
    </pivotField>
    <pivotField showAll="0"/>
    <pivotField showAll="0"/>
  </pivotFields>
  <rowFields count="1">
    <field x="0"/>
  </rowFields>
  <rowItems count="1">
    <i t="grand">
      <x v="0"/>
    </i>
  </rowItems>
  <colFields count="1">
    <field x="2"/>
  </colField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DataPilot4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1:B13" firstHeaderRow="1" firstDataRow="1" firstDataCol="1"/>
  <pivotFields count="5"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  <pivotField showAll="0"/>
  </pivotFields>
  <rowFields count="1">
    <field x="2"/>
  </rowFields>
  <rowItems count="2">
    <i>
      <x v="0"/>
    </i>
    <i t="grand">
      <x v="1"/>
    </i>
  </rowItems>
  <colItems count="1">
    <i t="grand">
      <x v="0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19.xml><?xml version="1.0" encoding="utf-8"?>
<pivotTableDefinition xmlns="http://schemas.openxmlformats.org/spreadsheetml/2006/main" name="DataPilot5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E6" firstHeaderRow="1" firstDataRow="2" firstDataCol="1"/>
  <pivotFields count="5">
    <pivotField showAll="0"/>
    <pivotField showAll="0"/>
    <pivotField axis="axisRow" dataField="1" showAll="0">
      <items count="3">
        <item x="0"/>
        <item h="1"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2">
    <i>
      <x v="0"/>
    </i>
    <i t="grand">
      <x v="1"/>
    </i>
  </rowItems>
  <colFields count="1">
    <field x="4"/>
  </colFields>
  <colItems count="4">
    <i>
      <x v="0"/>
    </i>
    <i>
      <x v="1"/>
    </i>
    <i>
      <x v="2"/>
    </i>
    <i t="grand">
      <x v="3"/>
    </i>
  </colItems>
  <dataFields count="1">
    <dataField name="Nombre de Sexe_Libelle" fld="2" subtotal="count" numFmtId="164"/>
  </dataFields>
  <pivotTableStyleInfo name="PivotStyleLight16" showRowHeaders="1" showColHeaders="1" showRowStripes="0" showColStripes="0" showLastColumn="1"/>
</pivotTableDefinition>
</file>

<file path=xl/pivotTables/pivotTable20.xml><?xml version="1.0" encoding="utf-8"?>
<pivotTableDefinition xmlns="http://schemas.openxmlformats.org/spreadsheetml/2006/main" name="DataPilot6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7:B39" firstHeaderRow="1" firstDataRow="2" firstDataCol="1"/>
  <pivotFields count="5">
    <pivotField axis="axisRow" showAll="0">
      <items count="22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t="default"/>
      </items>
    </pivotField>
    <pivotField showAll="0"/>
    <pivotField axis="axisCol" showAll="0">
      <items count="3">
        <item x="0"/>
        <item h="1" x="1"/>
        <item t="default"/>
      </items>
    </pivotField>
    <pivotField showAll="0"/>
    <pivotField dataField="1" showAll="0"/>
  </pivotFields>
  <rowFields count="1">
    <field x="0"/>
  </rowFields>
  <rowItems count="1">
    <i t="grand">
      <x v="0"/>
    </i>
  </rowItems>
  <colFields count="1">
    <field x="2"/>
  </colFields>
  <colItems count="1">
    <i t="grand">
      <x v="0"/>
    </i>
  </colItems>
  <dataFields count="1">
    <dataField name="Nombre de Avis_Libellé" fld="4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au1" displayName="Tableau1" ref="B1:F501" headerRowCount="1" totalsRowCount="0" totalsRowShown="0">
  <autoFilter ref="B1:F501"/>
  <tableColumns count="5">
    <tableColumn id="1" name="Age "/>
    <tableColumn id="2" name="Sexe"/>
    <tableColumn id="3" name="Sexe_Libelle"/>
    <tableColumn id="4" name="Avis "/>
    <tableColumn id="5" name="Avis_Libellé"/>
  </tableColumns>
</table>
</file>

<file path=xl/tables/table2.xml><?xml version="1.0" encoding="utf-8"?>
<table xmlns="http://schemas.openxmlformats.org/spreadsheetml/2006/main" id="2" name="Tableau2" displayName="Tableau2" ref="E23:G26" headerRowCount="1" totalsRowCount="0" totalsRowShown="0">
  <autoFilter ref="E23:G26"/>
  <tableColumns count="3">
    <tableColumn id="1" name="Sexe"/>
    <tableColumn id="2" name="Ni"/>
    <tableColumn id="3" name="Fi%"/>
  </tableColumns>
</table>
</file>

<file path=xl/tables/table3.xml><?xml version="1.0" encoding="utf-8"?>
<table xmlns="http://schemas.openxmlformats.org/spreadsheetml/2006/main" id="3" name="Tableau24" displayName="Tableau24" ref="M4:O5" headerRowCount="1" totalsRowCount="0" totalsRowShown="0">
  <autoFilter ref="M4:O5"/>
  <tableColumns count="3">
    <tableColumn id="1" name="K = nombre de classe "/>
    <tableColumn id="2" name="Etendu"/>
    <tableColumn id="3" name="Amplitude"/>
  </tableColumns>
</table>
</file>

<file path=xl/tables/table4.xml><?xml version="1.0" encoding="utf-8"?>
<table xmlns="http://schemas.openxmlformats.org/spreadsheetml/2006/main" id="4" name="Tableau248" displayName="Tableau248" ref="D49:F50" headerRowCount="1" totalsRowCount="0" totalsRowShown="0">
  <autoFilter ref="D49:F50"/>
  <tableColumns count="3">
    <tableColumn id="1" name="K = nombre de classe "/>
    <tableColumn id="2" name="Etendu"/>
    <tableColumn id="3" name="Amplitude"/>
  </tableColumns>
</table>
</file>

<file path=xl/tables/table5.xml><?xml version="1.0" encoding="utf-8"?>
<table xmlns="http://schemas.openxmlformats.org/spreadsheetml/2006/main" id="5" name="Tableau24810" displayName="Tableau24810" ref="D25:F26" headerRowCount="1" totalsRowCount="0" totalsRowShown="0">
  <autoFilter ref="D25:F26"/>
  <tableColumns count="3">
    <tableColumn id="1" name="K = nombre de classe "/>
    <tableColumn id="2" name="Etendu"/>
    <tableColumn id="3" name="Amplitude"/>
  </tableColumns>
</table>
</file>

<file path=xl/tables/table6.xml><?xml version="1.0" encoding="utf-8"?>
<table xmlns="http://schemas.openxmlformats.org/spreadsheetml/2006/main" id="6" name="Tableau2489" displayName="Tableau2489" ref="D25:F26" headerRowCount="1" totalsRowCount="0" totalsRowShown="0">
  <autoFilter ref="D25:F26"/>
  <tableColumns count="3">
    <tableColumn id="1" name="K = nombre de classe "/>
    <tableColumn id="2" name="Etendu"/>
    <tableColumn id="3" name="Amplitude"/>
  </tableColumns>
</table>
</file>

<file path=xl/tables/table7.xml><?xml version="1.0" encoding="utf-8"?>
<table xmlns="http://schemas.openxmlformats.org/spreadsheetml/2006/main" id="7" name="Tableau5" displayName="Tableau5" ref="A21:B32" headerRowCount="1" totalsRowCount="0" totalsRowShown="0">
  <autoFilter ref="A21:B32"/>
  <tableColumns count="2">
    <tableColumn id="1" name="Colonne1"/>
    <tableColumn id="2" name="Colonne2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4.xml"/><Relationship Id="rId4" Type="http://schemas.openxmlformats.org/officeDocument/2006/relationships/pivotTable" Target="../pivotTables/pivotTable1.xml"/><Relationship Id="rId5" Type="http://schemas.openxmlformats.org/officeDocument/2006/relationships/pivotTable" Target="../pivotTables/pivotTable2.xml"/><Relationship Id="rId6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pivotTable" Target="../pivotTables/pivotTable4.xml"/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7.xml"/><Relationship Id="rId3" Type="http://schemas.openxmlformats.org/officeDocument/2006/relationships/pivotTable" Target="../pivotTables/pivotTable10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13.xml"/><Relationship Id="rId3" Type="http://schemas.openxmlformats.org/officeDocument/2006/relationships/pivotTable" Target="../pivotTables/pivotTable14.xml"/><Relationship Id="rId4" Type="http://schemas.openxmlformats.org/officeDocument/2006/relationships/pivotTable" Target="../pivotTables/pivotTable15.xml"/><Relationship Id="rId5" Type="http://schemas.openxmlformats.org/officeDocument/2006/relationships/pivotTable" Target="../pivotTables/pivotTable1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17.xml"/><Relationship Id="rId3" Type="http://schemas.openxmlformats.org/officeDocument/2006/relationships/pivotTable" Target="../pivotTables/pivotTable18.xml"/><Relationship Id="rId4" Type="http://schemas.openxmlformats.org/officeDocument/2006/relationships/pivotTable" Target="../pivotTables/pivotTable19.xml"/><Relationship Id="rId5" Type="http://schemas.openxmlformats.org/officeDocument/2006/relationships/pivotTable" Target="../pivotTables/pivotTable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1"/>
  <sheetViews>
    <sheetView showFormulas="false" showGridLines="true" showRowColHeaders="true" showZeros="true" rightToLeft="false" tabSelected="true" showOutlineSymbols="true" defaultGridColor="true" view="normal" topLeftCell="B1" colorId="64" zoomScale="125" zoomScaleNormal="125" zoomScalePageLayoutView="100" workbookViewId="0">
      <selection pane="topLeft" activeCell="O5" activeCellId="0" sqref="O5"/>
    </sheetView>
  </sheetViews>
  <sheetFormatPr defaultColWidth="10.6796875" defaultRowHeight="15" zeroHeight="false" outlineLevelRow="0" outlineLevelCol="0"/>
  <cols>
    <col collapsed="false" customWidth="true" hidden="false" outlineLevel="0" max="4" min="4" style="1" width="13.15"/>
    <col collapsed="false" customWidth="true" hidden="false" outlineLevel="0" max="6" min="6" style="1" width="18.57"/>
    <col collapsed="false" customWidth="true" hidden="false" outlineLevel="0" max="8" min="8" style="1" width="15.71"/>
    <col collapsed="false" customWidth="true" hidden="false" outlineLevel="0" max="9" min="9" style="1" width="20.85"/>
  </cols>
  <sheetData>
    <row r="1" s="6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customFormat="false" ht="15" hidden="false" customHeight="false" outlineLevel="0" collapsed="false">
      <c r="A2" s="7" t="n">
        <v>1</v>
      </c>
      <c r="B2" s="8" t="n">
        <v>30</v>
      </c>
      <c r="C2" s="7" t="n">
        <v>1</v>
      </c>
      <c r="D2" s="7" t="s">
        <v>6</v>
      </c>
      <c r="E2" s="7" t="n">
        <v>2</v>
      </c>
      <c r="F2" s="9" t="s">
        <v>7</v>
      </c>
      <c r="H2" s="10" t="s">
        <v>8</v>
      </c>
      <c r="M2" s="11" t="s">
        <v>9</v>
      </c>
    </row>
    <row r="3" customFormat="false" ht="15" hidden="false" customHeight="false" outlineLevel="0" collapsed="false">
      <c r="A3" s="7" t="n">
        <v>2</v>
      </c>
      <c r="B3" s="8" t="n">
        <v>30</v>
      </c>
      <c r="C3" s="7" t="n">
        <v>1</v>
      </c>
      <c r="D3" s="7" t="s">
        <v>6</v>
      </c>
      <c r="E3" s="7" t="n">
        <v>3</v>
      </c>
      <c r="F3" s="9" t="s">
        <v>10</v>
      </c>
    </row>
    <row r="4" customFormat="false" ht="15" hidden="false" customHeight="false" outlineLevel="0" collapsed="false">
      <c r="A4" s="7" t="n">
        <v>3</v>
      </c>
      <c r="B4" s="8" t="n">
        <v>30</v>
      </c>
      <c r="C4" s="7" t="n">
        <v>1</v>
      </c>
      <c r="D4" s="7" t="s">
        <v>6</v>
      </c>
      <c r="E4" s="7" t="n">
        <v>1</v>
      </c>
      <c r="F4" s="9" t="s">
        <v>11</v>
      </c>
      <c r="M4" s="10" t="s">
        <v>12</v>
      </c>
      <c r="N4" s="10" t="s">
        <v>13</v>
      </c>
      <c r="O4" s="10" t="s">
        <v>14</v>
      </c>
    </row>
    <row r="5" customFormat="false" ht="15" hidden="false" customHeight="false" outlineLevel="0" collapsed="false">
      <c r="A5" s="7" t="n">
        <v>4</v>
      </c>
      <c r="B5" s="8" t="n">
        <v>30</v>
      </c>
      <c r="C5" s="7" t="n">
        <v>1</v>
      </c>
      <c r="D5" s="7" t="s">
        <v>6</v>
      </c>
      <c r="E5" s="7" t="n">
        <v>3</v>
      </c>
      <c r="F5" s="9" t="s">
        <v>10</v>
      </c>
      <c r="M5" s="10" t="n">
        <f aca="false">1+3.33*LOG(500)</f>
        <v>9.98757011443894</v>
      </c>
      <c r="N5" s="10" t="n">
        <f aca="false">MAX(B:B)-MIN(B:B)</f>
        <v>20</v>
      </c>
      <c r="O5" s="10" t="n">
        <f aca="false">N5/M5</f>
        <v>2.00248907099898</v>
      </c>
    </row>
    <row r="6" customFormat="false" ht="15" hidden="false" customHeight="false" outlineLevel="0" collapsed="false">
      <c r="A6" s="7" t="n">
        <v>5</v>
      </c>
      <c r="B6" s="8" t="n">
        <v>30</v>
      </c>
      <c r="C6" s="7" t="n">
        <v>1</v>
      </c>
      <c r="D6" s="7" t="s">
        <v>6</v>
      </c>
      <c r="E6" s="7" t="n">
        <v>1</v>
      </c>
      <c r="F6" s="9" t="s">
        <v>11</v>
      </c>
    </row>
    <row r="7" customFormat="false" ht="15" hidden="false" customHeight="false" outlineLevel="0" collapsed="false">
      <c r="A7" s="7" t="n">
        <v>6</v>
      </c>
      <c r="B7" s="8" t="n">
        <v>30</v>
      </c>
      <c r="C7" s="7" t="n">
        <v>0</v>
      </c>
      <c r="D7" s="7" t="s">
        <v>15</v>
      </c>
      <c r="E7" s="7" t="n">
        <v>2</v>
      </c>
      <c r="F7" s="9" t="s">
        <v>7</v>
      </c>
    </row>
    <row r="8" customFormat="false" ht="15" hidden="false" customHeight="false" outlineLevel="0" collapsed="false">
      <c r="A8" s="7" t="n">
        <v>7</v>
      </c>
      <c r="B8" s="8" t="n">
        <v>30</v>
      </c>
      <c r="C8" s="7" t="n">
        <v>0</v>
      </c>
      <c r="D8" s="7" t="s">
        <v>15</v>
      </c>
      <c r="E8" s="7" t="n">
        <v>1</v>
      </c>
      <c r="F8" s="9" t="s">
        <v>11</v>
      </c>
    </row>
    <row r="9" customFormat="false" ht="15" hidden="false" customHeight="false" outlineLevel="0" collapsed="false">
      <c r="A9" s="7" t="n">
        <v>8</v>
      </c>
      <c r="B9" s="8" t="n">
        <v>30</v>
      </c>
      <c r="C9" s="7" t="n">
        <v>0</v>
      </c>
      <c r="D9" s="7" t="s">
        <v>15</v>
      </c>
      <c r="E9" s="7" t="n">
        <v>2</v>
      </c>
      <c r="F9" s="9" t="s">
        <v>7</v>
      </c>
    </row>
    <row r="10" customFormat="false" ht="15" hidden="false" customHeight="false" outlineLevel="0" collapsed="false">
      <c r="A10" s="7" t="n">
        <v>9</v>
      </c>
      <c r="B10" s="8" t="n">
        <v>30</v>
      </c>
      <c r="C10" s="7" t="n">
        <v>1</v>
      </c>
      <c r="D10" s="7" t="s">
        <v>6</v>
      </c>
      <c r="E10" s="7" t="n">
        <v>1</v>
      </c>
      <c r="F10" s="9" t="s">
        <v>11</v>
      </c>
    </row>
    <row r="11" customFormat="false" ht="15" hidden="false" customHeight="false" outlineLevel="0" collapsed="false">
      <c r="A11" s="7" t="n">
        <v>10</v>
      </c>
      <c r="B11" s="8" t="n">
        <v>30</v>
      </c>
      <c r="C11" s="7" t="n">
        <v>0</v>
      </c>
      <c r="D11" s="7" t="s">
        <v>15</v>
      </c>
      <c r="E11" s="7" t="n">
        <v>1</v>
      </c>
      <c r="F11" s="9" t="s">
        <v>11</v>
      </c>
    </row>
    <row r="12" customFormat="false" ht="15" hidden="false" customHeight="false" outlineLevel="0" collapsed="false">
      <c r="A12" s="7" t="n">
        <v>11</v>
      </c>
      <c r="B12" s="8" t="n">
        <v>30</v>
      </c>
      <c r="C12" s="7" t="n">
        <v>1</v>
      </c>
      <c r="D12" s="7" t="s">
        <v>6</v>
      </c>
      <c r="E12" s="7" t="n">
        <v>2</v>
      </c>
      <c r="F12" s="9" t="s">
        <v>7</v>
      </c>
    </row>
    <row r="13" customFormat="false" ht="15" hidden="false" customHeight="false" outlineLevel="0" collapsed="false">
      <c r="A13" s="7" t="n">
        <v>12</v>
      </c>
      <c r="B13" s="8" t="n">
        <v>30</v>
      </c>
      <c r="C13" s="7" t="n">
        <v>0</v>
      </c>
      <c r="D13" s="7" t="s">
        <v>15</v>
      </c>
      <c r="E13" s="7" t="n">
        <v>3</v>
      </c>
      <c r="F13" s="9" t="s">
        <v>10</v>
      </c>
    </row>
    <row r="14" customFormat="false" ht="15" hidden="false" customHeight="false" outlineLevel="0" collapsed="false">
      <c r="A14" s="7" t="n">
        <v>13</v>
      </c>
      <c r="B14" s="8" t="n">
        <v>30</v>
      </c>
      <c r="C14" s="7" t="n">
        <v>1</v>
      </c>
      <c r="D14" s="7" t="s">
        <v>6</v>
      </c>
      <c r="E14" s="7" t="n">
        <v>2</v>
      </c>
      <c r="F14" s="9" t="s">
        <v>7</v>
      </c>
    </row>
    <row r="15" customFormat="false" ht="15" hidden="false" customHeight="false" outlineLevel="0" collapsed="false">
      <c r="A15" s="7" t="n">
        <v>14</v>
      </c>
      <c r="B15" s="8" t="n">
        <v>30</v>
      </c>
      <c r="C15" s="7" t="n">
        <v>0</v>
      </c>
      <c r="D15" s="7" t="s">
        <v>15</v>
      </c>
      <c r="E15" s="7" t="n">
        <v>2</v>
      </c>
      <c r="F15" s="9" t="s">
        <v>7</v>
      </c>
    </row>
    <row r="16" customFormat="false" ht="15" hidden="false" customHeight="false" outlineLevel="0" collapsed="false">
      <c r="A16" s="7" t="n">
        <v>15</v>
      </c>
      <c r="B16" s="8" t="n">
        <v>30</v>
      </c>
      <c r="C16" s="7" t="n">
        <v>0</v>
      </c>
      <c r="D16" s="7" t="s">
        <v>15</v>
      </c>
      <c r="E16" s="7" t="n">
        <v>2</v>
      </c>
      <c r="F16" s="9" t="s">
        <v>7</v>
      </c>
    </row>
    <row r="17" customFormat="false" ht="15" hidden="false" customHeight="false" outlineLevel="0" collapsed="false">
      <c r="A17" s="7" t="n">
        <v>16</v>
      </c>
      <c r="B17" s="8" t="n">
        <v>30</v>
      </c>
      <c r="C17" s="7" t="n">
        <v>1</v>
      </c>
      <c r="D17" s="7" t="s">
        <v>6</v>
      </c>
      <c r="E17" s="7" t="n">
        <v>1</v>
      </c>
      <c r="F17" s="9" t="s">
        <v>11</v>
      </c>
    </row>
    <row r="18" customFormat="false" ht="15" hidden="false" customHeight="false" outlineLevel="0" collapsed="false">
      <c r="A18" s="7" t="n">
        <v>17</v>
      </c>
      <c r="B18" s="8" t="n">
        <v>30</v>
      </c>
      <c r="C18" s="7" t="n">
        <v>1</v>
      </c>
      <c r="D18" s="7" t="s">
        <v>6</v>
      </c>
      <c r="E18" s="7" t="n">
        <v>2</v>
      </c>
      <c r="F18" s="9" t="s">
        <v>7</v>
      </c>
    </row>
    <row r="19" customFormat="false" ht="15" hidden="false" customHeight="false" outlineLevel="0" collapsed="false">
      <c r="A19" s="7" t="n">
        <v>18</v>
      </c>
      <c r="B19" s="8" t="n">
        <v>30</v>
      </c>
      <c r="C19" s="7" t="n">
        <v>0</v>
      </c>
      <c r="D19" s="7" t="s">
        <v>15</v>
      </c>
      <c r="E19" s="7" t="n">
        <v>1</v>
      </c>
      <c r="F19" s="9" t="s">
        <v>11</v>
      </c>
    </row>
    <row r="20" customFormat="false" ht="15" hidden="false" customHeight="false" outlineLevel="0" collapsed="false">
      <c r="A20" s="7" t="n">
        <v>19</v>
      </c>
      <c r="B20" s="8" t="n">
        <v>30</v>
      </c>
      <c r="C20" s="7" t="n">
        <v>0</v>
      </c>
      <c r="D20" s="7" t="s">
        <v>15</v>
      </c>
      <c r="E20" s="7" t="n">
        <v>2</v>
      </c>
      <c r="F20" s="9" t="s">
        <v>7</v>
      </c>
    </row>
    <row r="21" customFormat="false" ht="15" hidden="false" customHeight="false" outlineLevel="0" collapsed="false">
      <c r="A21" s="7" t="n">
        <v>20</v>
      </c>
      <c r="B21" s="8" t="n">
        <v>30</v>
      </c>
      <c r="C21" s="7" t="n">
        <v>1</v>
      </c>
      <c r="D21" s="7" t="s">
        <v>6</v>
      </c>
      <c r="E21" s="7" t="n">
        <v>2</v>
      </c>
      <c r="F21" s="9" t="s">
        <v>7</v>
      </c>
    </row>
    <row r="22" customFormat="false" ht="15" hidden="false" customHeight="false" outlineLevel="0" collapsed="false">
      <c r="A22" s="7" t="n">
        <v>21</v>
      </c>
      <c r="B22" s="8" t="n">
        <v>30</v>
      </c>
      <c r="C22" s="7" t="n">
        <v>0</v>
      </c>
      <c r="D22" s="7" t="s">
        <v>15</v>
      </c>
      <c r="E22" s="7" t="n">
        <v>2</v>
      </c>
      <c r="F22" s="9" t="s">
        <v>7</v>
      </c>
    </row>
    <row r="23" customFormat="false" ht="15" hidden="false" customHeight="false" outlineLevel="0" collapsed="false">
      <c r="A23" s="7" t="n">
        <v>22</v>
      </c>
      <c r="B23" s="8" t="n">
        <v>30</v>
      </c>
      <c r="C23" s="7" t="n">
        <v>1</v>
      </c>
      <c r="D23" s="7" t="s">
        <v>6</v>
      </c>
      <c r="E23" s="7" t="n">
        <v>1</v>
      </c>
      <c r="F23" s="9" t="s">
        <v>11</v>
      </c>
    </row>
    <row r="24" customFormat="false" ht="15" hidden="false" customHeight="false" outlineLevel="0" collapsed="false">
      <c r="A24" s="7" t="n">
        <v>23</v>
      </c>
      <c r="B24" s="8" t="n">
        <v>30</v>
      </c>
      <c r="C24" s="7" t="n">
        <v>1</v>
      </c>
      <c r="D24" s="7" t="s">
        <v>6</v>
      </c>
      <c r="E24" s="7" t="n">
        <v>3</v>
      </c>
      <c r="F24" s="9" t="s">
        <v>10</v>
      </c>
    </row>
    <row r="25" customFormat="false" ht="15" hidden="false" customHeight="false" outlineLevel="0" collapsed="false">
      <c r="A25" s="7" t="n">
        <v>24</v>
      </c>
      <c r="B25" s="8" t="n">
        <v>30</v>
      </c>
      <c r="C25" s="7" t="n">
        <v>0</v>
      </c>
      <c r="D25" s="7" t="s">
        <v>15</v>
      </c>
      <c r="E25" s="7" t="n">
        <v>1</v>
      </c>
      <c r="F25" s="9" t="s">
        <v>11</v>
      </c>
    </row>
    <row r="26" customFormat="false" ht="15" hidden="false" customHeight="false" outlineLevel="0" collapsed="false">
      <c r="A26" s="7" t="n">
        <v>25</v>
      </c>
      <c r="B26" s="8" t="n">
        <v>30</v>
      </c>
      <c r="C26" s="7" t="n">
        <v>1</v>
      </c>
      <c r="D26" s="7" t="s">
        <v>6</v>
      </c>
      <c r="E26" s="7" t="n">
        <v>2</v>
      </c>
      <c r="F26" s="9" t="s">
        <v>7</v>
      </c>
    </row>
    <row r="27" customFormat="false" ht="15" hidden="false" customHeight="false" outlineLevel="0" collapsed="false">
      <c r="A27" s="7" t="n">
        <v>26</v>
      </c>
      <c r="B27" s="8" t="n">
        <v>31</v>
      </c>
      <c r="C27" s="7" t="n">
        <v>0</v>
      </c>
      <c r="D27" s="7" t="s">
        <v>15</v>
      </c>
      <c r="E27" s="7" t="n">
        <v>1</v>
      </c>
      <c r="F27" s="9" t="s">
        <v>11</v>
      </c>
    </row>
    <row r="28" customFormat="false" ht="15" hidden="false" customHeight="false" outlineLevel="0" collapsed="false">
      <c r="A28" s="7" t="n">
        <v>27</v>
      </c>
      <c r="B28" s="8" t="n">
        <v>31</v>
      </c>
      <c r="C28" s="7" t="n">
        <v>0</v>
      </c>
      <c r="D28" s="7" t="s">
        <v>15</v>
      </c>
      <c r="E28" s="7" t="n">
        <v>3</v>
      </c>
      <c r="F28" s="9" t="s">
        <v>10</v>
      </c>
    </row>
    <row r="29" customFormat="false" ht="15" hidden="false" customHeight="false" outlineLevel="0" collapsed="false">
      <c r="A29" s="7" t="n">
        <v>28</v>
      </c>
      <c r="B29" s="8" t="n">
        <v>31</v>
      </c>
      <c r="C29" s="7" t="n">
        <v>0</v>
      </c>
      <c r="D29" s="7" t="s">
        <v>15</v>
      </c>
      <c r="E29" s="7" t="n">
        <v>3</v>
      </c>
      <c r="F29" s="9" t="s">
        <v>10</v>
      </c>
    </row>
    <row r="30" customFormat="false" ht="15" hidden="false" customHeight="false" outlineLevel="0" collapsed="false">
      <c r="A30" s="7" t="n">
        <v>29</v>
      </c>
      <c r="B30" s="8" t="n">
        <v>31</v>
      </c>
      <c r="C30" s="7" t="n">
        <v>1</v>
      </c>
      <c r="D30" s="7" t="s">
        <v>6</v>
      </c>
      <c r="E30" s="7" t="n">
        <v>1</v>
      </c>
      <c r="F30" s="9" t="s">
        <v>11</v>
      </c>
    </row>
    <row r="31" customFormat="false" ht="15" hidden="false" customHeight="false" outlineLevel="0" collapsed="false">
      <c r="A31" s="7" t="n">
        <v>30</v>
      </c>
      <c r="B31" s="8" t="n">
        <v>31</v>
      </c>
      <c r="C31" s="7" t="n">
        <v>0</v>
      </c>
      <c r="D31" s="7" t="s">
        <v>15</v>
      </c>
      <c r="E31" s="7" t="n">
        <v>2</v>
      </c>
      <c r="F31" s="9" t="s">
        <v>7</v>
      </c>
    </row>
    <row r="32" customFormat="false" ht="15" hidden="false" customHeight="false" outlineLevel="0" collapsed="false">
      <c r="A32" s="7" t="n">
        <v>31</v>
      </c>
      <c r="B32" s="8" t="n">
        <v>31</v>
      </c>
      <c r="C32" s="7" t="n">
        <v>0</v>
      </c>
      <c r="D32" s="7" t="s">
        <v>15</v>
      </c>
      <c r="E32" s="7" t="n">
        <v>1</v>
      </c>
      <c r="F32" s="9" t="s">
        <v>11</v>
      </c>
    </row>
    <row r="33" customFormat="false" ht="15" hidden="false" customHeight="false" outlineLevel="0" collapsed="false">
      <c r="A33" s="7" t="n">
        <v>32</v>
      </c>
      <c r="B33" s="8" t="n">
        <v>31</v>
      </c>
      <c r="C33" s="7" t="n">
        <v>0</v>
      </c>
      <c r="D33" s="7" t="s">
        <v>15</v>
      </c>
      <c r="E33" s="7" t="n">
        <v>1</v>
      </c>
      <c r="F33" s="9" t="s">
        <v>11</v>
      </c>
    </row>
    <row r="34" customFormat="false" ht="15" hidden="false" customHeight="false" outlineLevel="0" collapsed="false">
      <c r="A34" s="7" t="n">
        <v>33</v>
      </c>
      <c r="B34" s="8" t="n">
        <v>31</v>
      </c>
      <c r="C34" s="7" t="n">
        <v>0</v>
      </c>
      <c r="D34" s="7" t="s">
        <v>15</v>
      </c>
      <c r="E34" s="7" t="n">
        <v>2</v>
      </c>
      <c r="F34" s="9" t="s">
        <v>7</v>
      </c>
    </row>
    <row r="35" customFormat="false" ht="15" hidden="false" customHeight="false" outlineLevel="0" collapsed="false">
      <c r="A35" s="7" t="n">
        <v>34</v>
      </c>
      <c r="B35" s="8" t="n">
        <v>31</v>
      </c>
      <c r="C35" s="7" t="n">
        <v>1</v>
      </c>
      <c r="D35" s="7" t="s">
        <v>6</v>
      </c>
      <c r="E35" s="7" t="n">
        <v>3</v>
      </c>
      <c r="F35" s="9" t="s">
        <v>10</v>
      </c>
    </row>
    <row r="36" customFormat="false" ht="15" hidden="false" customHeight="false" outlineLevel="0" collapsed="false">
      <c r="A36" s="7" t="n">
        <v>35</v>
      </c>
      <c r="B36" s="8" t="n">
        <v>31</v>
      </c>
      <c r="C36" s="7" t="n">
        <v>1</v>
      </c>
      <c r="D36" s="7" t="s">
        <v>6</v>
      </c>
      <c r="E36" s="7" t="n">
        <v>2</v>
      </c>
      <c r="F36" s="9" t="s">
        <v>7</v>
      </c>
    </row>
    <row r="37" customFormat="false" ht="15" hidden="false" customHeight="false" outlineLevel="0" collapsed="false">
      <c r="A37" s="7" t="n">
        <v>36</v>
      </c>
      <c r="B37" s="8" t="n">
        <v>31</v>
      </c>
      <c r="C37" s="7" t="n">
        <v>0</v>
      </c>
      <c r="D37" s="7" t="s">
        <v>15</v>
      </c>
      <c r="E37" s="7" t="n">
        <v>3</v>
      </c>
      <c r="F37" s="9" t="s">
        <v>10</v>
      </c>
    </row>
    <row r="38" customFormat="false" ht="15" hidden="false" customHeight="false" outlineLevel="0" collapsed="false">
      <c r="A38" s="7" t="n">
        <v>37</v>
      </c>
      <c r="B38" s="8" t="n">
        <v>31</v>
      </c>
      <c r="C38" s="7" t="n">
        <v>1</v>
      </c>
      <c r="D38" s="7" t="s">
        <v>6</v>
      </c>
      <c r="E38" s="7" t="n">
        <v>3</v>
      </c>
      <c r="F38" s="9" t="s">
        <v>10</v>
      </c>
    </row>
    <row r="39" customFormat="false" ht="15" hidden="false" customHeight="false" outlineLevel="0" collapsed="false">
      <c r="A39" s="7" t="n">
        <v>38</v>
      </c>
      <c r="B39" s="8" t="n">
        <v>31</v>
      </c>
      <c r="C39" s="7" t="n">
        <v>0</v>
      </c>
      <c r="D39" s="7" t="s">
        <v>15</v>
      </c>
      <c r="E39" s="7" t="n">
        <v>2</v>
      </c>
      <c r="F39" s="9" t="s">
        <v>7</v>
      </c>
    </row>
    <row r="40" customFormat="false" ht="15" hidden="false" customHeight="false" outlineLevel="0" collapsed="false">
      <c r="A40" s="7" t="n">
        <v>39</v>
      </c>
      <c r="B40" s="8" t="n">
        <v>31</v>
      </c>
      <c r="C40" s="7" t="n">
        <v>1</v>
      </c>
      <c r="D40" s="7" t="s">
        <v>6</v>
      </c>
      <c r="E40" s="7" t="n">
        <v>1</v>
      </c>
      <c r="F40" s="9" t="s">
        <v>11</v>
      </c>
    </row>
    <row r="41" customFormat="false" ht="15" hidden="false" customHeight="false" outlineLevel="0" collapsed="false">
      <c r="A41" s="7" t="n">
        <v>40</v>
      </c>
      <c r="B41" s="8" t="n">
        <v>31</v>
      </c>
      <c r="C41" s="7" t="n">
        <v>1</v>
      </c>
      <c r="D41" s="7" t="s">
        <v>6</v>
      </c>
      <c r="E41" s="7" t="n">
        <v>3</v>
      </c>
      <c r="F41" s="9" t="s">
        <v>10</v>
      </c>
    </row>
    <row r="42" customFormat="false" ht="15" hidden="false" customHeight="false" outlineLevel="0" collapsed="false">
      <c r="A42" s="7" t="n">
        <v>41</v>
      </c>
      <c r="B42" s="8" t="n">
        <v>31</v>
      </c>
      <c r="C42" s="7" t="n">
        <v>0</v>
      </c>
      <c r="D42" s="7" t="s">
        <v>15</v>
      </c>
      <c r="E42" s="7" t="n">
        <v>2</v>
      </c>
      <c r="F42" s="9" t="s">
        <v>7</v>
      </c>
    </row>
    <row r="43" customFormat="false" ht="15" hidden="false" customHeight="false" outlineLevel="0" collapsed="false">
      <c r="A43" s="7" t="n">
        <v>42</v>
      </c>
      <c r="B43" s="8" t="n">
        <v>31</v>
      </c>
      <c r="C43" s="7" t="n">
        <v>0</v>
      </c>
      <c r="D43" s="7" t="s">
        <v>15</v>
      </c>
      <c r="E43" s="7" t="n">
        <v>3</v>
      </c>
      <c r="F43" s="9" t="s">
        <v>10</v>
      </c>
    </row>
    <row r="44" customFormat="false" ht="15" hidden="false" customHeight="false" outlineLevel="0" collapsed="false">
      <c r="A44" s="7" t="n">
        <v>43</v>
      </c>
      <c r="B44" s="8" t="n">
        <v>31</v>
      </c>
      <c r="C44" s="7" t="n">
        <v>0</v>
      </c>
      <c r="D44" s="7" t="s">
        <v>15</v>
      </c>
      <c r="E44" s="7" t="n">
        <v>3</v>
      </c>
      <c r="F44" s="9" t="s">
        <v>10</v>
      </c>
    </row>
    <row r="45" customFormat="false" ht="15" hidden="false" customHeight="false" outlineLevel="0" collapsed="false">
      <c r="A45" s="7" t="n">
        <v>44</v>
      </c>
      <c r="B45" s="8" t="n">
        <v>31</v>
      </c>
      <c r="C45" s="7" t="n">
        <v>0</v>
      </c>
      <c r="D45" s="7" t="s">
        <v>15</v>
      </c>
      <c r="E45" s="7" t="n">
        <v>3</v>
      </c>
      <c r="F45" s="9" t="s">
        <v>10</v>
      </c>
    </row>
    <row r="46" customFormat="false" ht="15" hidden="false" customHeight="false" outlineLevel="0" collapsed="false">
      <c r="A46" s="7" t="n">
        <v>45</v>
      </c>
      <c r="B46" s="8" t="n">
        <v>31</v>
      </c>
      <c r="C46" s="7" t="n">
        <v>0</v>
      </c>
      <c r="D46" s="7" t="s">
        <v>15</v>
      </c>
      <c r="E46" s="7" t="n">
        <v>3</v>
      </c>
      <c r="F46" s="9" t="s">
        <v>10</v>
      </c>
    </row>
    <row r="47" customFormat="false" ht="15" hidden="false" customHeight="false" outlineLevel="0" collapsed="false">
      <c r="A47" s="7" t="n">
        <v>46</v>
      </c>
      <c r="B47" s="8" t="n">
        <v>31</v>
      </c>
      <c r="C47" s="7" t="n">
        <v>1</v>
      </c>
      <c r="D47" s="7" t="s">
        <v>6</v>
      </c>
      <c r="E47" s="7" t="n">
        <v>2</v>
      </c>
      <c r="F47" s="9" t="s">
        <v>7</v>
      </c>
    </row>
    <row r="48" customFormat="false" ht="15" hidden="false" customHeight="false" outlineLevel="0" collapsed="false">
      <c r="A48" s="7" t="n">
        <v>47</v>
      </c>
      <c r="B48" s="8" t="n">
        <v>31</v>
      </c>
      <c r="C48" s="7" t="n">
        <v>0</v>
      </c>
      <c r="D48" s="7" t="s">
        <v>15</v>
      </c>
      <c r="E48" s="7" t="n">
        <v>3</v>
      </c>
      <c r="F48" s="9" t="s">
        <v>10</v>
      </c>
    </row>
    <row r="49" customFormat="false" ht="15" hidden="false" customHeight="false" outlineLevel="0" collapsed="false">
      <c r="A49" s="7" t="n">
        <v>48</v>
      </c>
      <c r="B49" s="8" t="n">
        <v>31</v>
      </c>
      <c r="C49" s="7" t="n">
        <v>1</v>
      </c>
      <c r="D49" s="7" t="s">
        <v>6</v>
      </c>
      <c r="E49" s="7" t="n">
        <v>2</v>
      </c>
      <c r="F49" s="9" t="s">
        <v>7</v>
      </c>
    </row>
    <row r="50" customFormat="false" ht="15" hidden="false" customHeight="false" outlineLevel="0" collapsed="false">
      <c r="A50" s="7" t="n">
        <v>49</v>
      </c>
      <c r="B50" s="8" t="n">
        <v>31</v>
      </c>
      <c r="C50" s="7" t="n">
        <v>1</v>
      </c>
      <c r="D50" s="7" t="s">
        <v>6</v>
      </c>
      <c r="E50" s="7" t="n">
        <v>3</v>
      </c>
      <c r="F50" s="9" t="s">
        <v>10</v>
      </c>
    </row>
    <row r="51" customFormat="false" ht="15" hidden="false" customHeight="false" outlineLevel="0" collapsed="false">
      <c r="A51" s="7" t="n">
        <v>50</v>
      </c>
      <c r="B51" s="8" t="n">
        <v>31</v>
      </c>
      <c r="C51" s="7" t="n">
        <v>0</v>
      </c>
      <c r="D51" s="7" t="s">
        <v>15</v>
      </c>
      <c r="E51" s="7" t="n">
        <v>2</v>
      </c>
      <c r="F51" s="9" t="s">
        <v>7</v>
      </c>
    </row>
    <row r="52" customFormat="false" ht="15" hidden="false" customHeight="false" outlineLevel="0" collapsed="false">
      <c r="A52" s="7" t="n">
        <v>51</v>
      </c>
      <c r="B52" s="8" t="n">
        <v>31</v>
      </c>
      <c r="C52" s="7" t="n">
        <v>0</v>
      </c>
      <c r="D52" s="7" t="s">
        <v>15</v>
      </c>
      <c r="E52" s="7" t="n">
        <v>2</v>
      </c>
      <c r="F52" s="9" t="s">
        <v>7</v>
      </c>
    </row>
    <row r="53" customFormat="false" ht="15" hidden="false" customHeight="false" outlineLevel="0" collapsed="false">
      <c r="A53" s="7" t="n">
        <v>52</v>
      </c>
      <c r="B53" s="8" t="n">
        <v>31</v>
      </c>
      <c r="C53" s="7" t="n">
        <v>0</v>
      </c>
      <c r="D53" s="7" t="s">
        <v>15</v>
      </c>
      <c r="E53" s="7" t="n">
        <v>3</v>
      </c>
      <c r="F53" s="9" t="s">
        <v>10</v>
      </c>
    </row>
    <row r="54" customFormat="false" ht="15" hidden="false" customHeight="false" outlineLevel="0" collapsed="false">
      <c r="A54" s="7" t="n">
        <v>53</v>
      </c>
      <c r="B54" s="8" t="n">
        <v>31</v>
      </c>
      <c r="C54" s="7" t="n">
        <v>0</v>
      </c>
      <c r="D54" s="7" t="s">
        <v>15</v>
      </c>
      <c r="E54" s="7" t="n">
        <v>1</v>
      </c>
      <c r="F54" s="9" t="s">
        <v>11</v>
      </c>
    </row>
    <row r="55" customFormat="false" ht="15" hidden="false" customHeight="false" outlineLevel="0" collapsed="false">
      <c r="A55" s="7" t="n">
        <v>54</v>
      </c>
      <c r="B55" s="8" t="n">
        <v>32</v>
      </c>
      <c r="C55" s="7" t="n">
        <v>1</v>
      </c>
      <c r="D55" s="7" t="s">
        <v>6</v>
      </c>
      <c r="E55" s="7" t="n">
        <v>1</v>
      </c>
      <c r="F55" s="9" t="s">
        <v>11</v>
      </c>
    </row>
    <row r="56" customFormat="false" ht="15" hidden="false" customHeight="false" outlineLevel="0" collapsed="false">
      <c r="A56" s="7" t="n">
        <v>55</v>
      </c>
      <c r="B56" s="8" t="n">
        <v>32</v>
      </c>
      <c r="C56" s="7" t="n">
        <v>0</v>
      </c>
      <c r="D56" s="7" t="s">
        <v>15</v>
      </c>
      <c r="E56" s="7" t="n">
        <v>2</v>
      </c>
      <c r="F56" s="9" t="s">
        <v>7</v>
      </c>
    </row>
    <row r="57" customFormat="false" ht="15" hidden="false" customHeight="false" outlineLevel="0" collapsed="false">
      <c r="A57" s="7" t="n">
        <v>56</v>
      </c>
      <c r="B57" s="8" t="n">
        <v>32</v>
      </c>
      <c r="C57" s="7" t="n">
        <v>1</v>
      </c>
      <c r="D57" s="7" t="s">
        <v>6</v>
      </c>
      <c r="E57" s="7" t="n">
        <v>2</v>
      </c>
      <c r="F57" s="9" t="s">
        <v>7</v>
      </c>
    </row>
    <row r="58" customFormat="false" ht="15" hidden="false" customHeight="false" outlineLevel="0" collapsed="false">
      <c r="A58" s="7" t="n">
        <v>57</v>
      </c>
      <c r="B58" s="8" t="n">
        <v>32</v>
      </c>
      <c r="C58" s="7" t="n">
        <v>1</v>
      </c>
      <c r="D58" s="7" t="s">
        <v>6</v>
      </c>
      <c r="E58" s="7" t="n">
        <v>3</v>
      </c>
      <c r="F58" s="9" t="s">
        <v>10</v>
      </c>
    </row>
    <row r="59" customFormat="false" ht="15" hidden="false" customHeight="false" outlineLevel="0" collapsed="false">
      <c r="A59" s="7" t="n">
        <v>58</v>
      </c>
      <c r="B59" s="8" t="n">
        <v>32</v>
      </c>
      <c r="C59" s="7" t="n">
        <v>1</v>
      </c>
      <c r="D59" s="7" t="s">
        <v>6</v>
      </c>
      <c r="E59" s="7" t="n">
        <v>2</v>
      </c>
      <c r="F59" s="9" t="s">
        <v>7</v>
      </c>
    </row>
    <row r="60" customFormat="false" ht="15" hidden="false" customHeight="false" outlineLevel="0" collapsed="false">
      <c r="A60" s="7" t="n">
        <v>59</v>
      </c>
      <c r="B60" s="8" t="n">
        <v>32</v>
      </c>
      <c r="C60" s="7" t="n">
        <v>0</v>
      </c>
      <c r="D60" s="7" t="s">
        <v>15</v>
      </c>
      <c r="E60" s="7" t="n">
        <v>1</v>
      </c>
      <c r="F60" s="9" t="s">
        <v>11</v>
      </c>
    </row>
    <row r="61" customFormat="false" ht="15" hidden="false" customHeight="false" outlineLevel="0" collapsed="false">
      <c r="A61" s="7" t="n">
        <v>60</v>
      </c>
      <c r="B61" s="8" t="n">
        <v>32</v>
      </c>
      <c r="C61" s="7" t="n">
        <v>0</v>
      </c>
      <c r="D61" s="7" t="s">
        <v>15</v>
      </c>
      <c r="E61" s="7" t="n">
        <v>2</v>
      </c>
      <c r="F61" s="9" t="s">
        <v>7</v>
      </c>
    </row>
    <row r="62" customFormat="false" ht="15" hidden="false" customHeight="false" outlineLevel="0" collapsed="false">
      <c r="A62" s="7" t="n">
        <v>61</v>
      </c>
      <c r="B62" s="8" t="n">
        <v>32</v>
      </c>
      <c r="C62" s="7" t="n">
        <v>1</v>
      </c>
      <c r="D62" s="7" t="s">
        <v>6</v>
      </c>
      <c r="E62" s="7" t="n">
        <v>3</v>
      </c>
      <c r="F62" s="9" t="s">
        <v>10</v>
      </c>
    </row>
    <row r="63" customFormat="false" ht="15" hidden="false" customHeight="false" outlineLevel="0" collapsed="false">
      <c r="A63" s="7" t="n">
        <v>62</v>
      </c>
      <c r="B63" s="8" t="n">
        <v>32</v>
      </c>
      <c r="C63" s="7" t="n">
        <v>0</v>
      </c>
      <c r="D63" s="7" t="s">
        <v>15</v>
      </c>
      <c r="E63" s="7" t="n">
        <v>1</v>
      </c>
      <c r="F63" s="9" t="s">
        <v>11</v>
      </c>
    </row>
    <row r="64" customFormat="false" ht="15" hidden="false" customHeight="false" outlineLevel="0" collapsed="false">
      <c r="A64" s="7" t="n">
        <v>63</v>
      </c>
      <c r="B64" s="8" t="n">
        <v>32</v>
      </c>
      <c r="C64" s="7" t="n">
        <v>1</v>
      </c>
      <c r="D64" s="7" t="s">
        <v>6</v>
      </c>
      <c r="E64" s="7" t="n">
        <v>1</v>
      </c>
      <c r="F64" s="9" t="s">
        <v>11</v>
      </c>
    </row>
    <row r="65" customFormat="false" ht="15" hidden="false" customHeight="false" outlineLevel="0" collapsed="false">
      <c r="A65" s="7" t="n">
        <v>64</v>
      </c>
      <c r="B65" s="8" t="n">
        <v>32</v>
      </c>
      <c r="C65" s="7" t="n">
        <v>1</v>
      </c>
      <c r="D65" s="7" t="s">
        <v>6</v>
      </c>
      <c r="E65" s="7" t="n">
        <v>1</v>
      </c>
      <c r="F65" s="9" t="s">
        <v>11</v>
      </c>
    </row>
    <row r="66" customFormat="false" ht="15" hidden="false" customHeight="false" outlineLevel="0" collapsed="false">
      <c r="A66" s="7" t="n">
        <v>65</v>
      </c>
      <c r="B66" s="8" t="n">
        <v>32</v>
      </c>
      <c r="C66" s="7" t="n">
        <v>0</v>
      </c>
      <c r="D66" s="7" t="s">
        <v>15</v>
      </c>
      <c r="E66" s="7" t="n">
        <v>3</v>
      </c>
      <c r="F66" s="9" t="s">
        <v>10</v>
      </c>
    </row>
    <row r="67" customFormat="false" ht="15" hidden="false" customHeight="false" outlineLevel="0" collapsed="false">
      <c r="A67" s="7" t="n">
        <v>66</v>
      </c>
      <c r="B67" s="8" t="n">
        <v>32</v>
      </c>
      <c r="C67" s="7" t="n">
        <v>1</v>
      </c>
      <c r="D67" s="7" t="s">
        <v>6</v>
      </c>
      <c r="E67" s="7" t="n">
        <v>3</v>
      </c>
      <c r="F67" s="9" t="s">
        <v>10</v>
      </c>
    </row>
    <row r="68" customFormat="false" ht="15" hidden="false" customHeight="false" outlineLevel="0" collapsed="false">
      <c r="A68" s="7" t="n">
        <v>67</v>
      </c>
      <c r="B68" s="8" t="n">
        <v>32</v>
      </c>
      <c r="C68" s="7" t="n">
        <v>0</v>
      </c>
      <c r="D68" s="7" t="s">
        <v>15</v>
      </c>
      <c r="E68" s="7" t="n">
        <v>2</v>
      </c>
      <c r="F68" s="9" t="s">
        <v>7</v>
      </c>
    </row>
    <row r="69" customFormat="false" ht="15" hidden="false" customHeight="false" outlineLevel="0" collapsed="false">
      <c r="A69" s="7" t="n">
        <v>68</v>
      </c>
      <c r="B69" s="8" t="n">
        <v>32</v>
      </c>
      <c r="C69" s="7" t="n">
        <v>0</v>
      </c>
      <c r="D69" s="7" t="s">
        <v>15</v>
      </c>
      <c r="E69" s="7" t="n">
        <v>3</v>
      </c>
      <c r="F69" s="9" t="s">
        <v>10</v>
      </c>
    </row>
    <row r="70" customFormat="false" ht="15" hidden="false" customHeight="false" outlineLevel="0" collapsed="false">
      <c r="A70" s="7" t="n">
        <v>69</v>
      </c>
      <c r="B70" s="8" t="n">
        <v>32</v>
      </c>
      <c r="C70" s="7" t="n">
        <v>1</v>
      </c>
      <c r="D70" s="7" t="s">
        <v>6</v>
      </c>
      <c r="E70" s="7" t="n">
        <v>2</v>
      </c>
      <c r="F70" s="9" t="s">
        <v>7</v>
      </c>
    </row>
    <row r="71" customFormat="false" ht="15" hidden="false" customHeight="false" outlineLevel="0" collapsed="false">
      <c r="A71" s="7" t="n">
        <v>70</v>
      </c>
      <c r="B71" s="8" t="n">
        <v>32</v>
      </c>
      <c r="C71" s="7" t="n">
        <v>1</v>
      </c>
      <c r="D71" s="7" t="s">
        <v>6</v>
      </c>
      <c r="E71" s="7" t="n">
        <v>3</v>
      </c>
      <c r="F71" s="9" t="s">
        <v>10</v>
      </c>
    </row>
    <row r="72" customFormat="false" ht="15" hidden="false" customHeight="false" outlineLevel="0" collapsed="false">
      <c r="A72" s="7" t="n">
        <v>71</v>
      </c>
      <c r="B72" s="8" t="n">
        <v>32</v>
      </c>
      <c r="C72" s="7" t="n">
        <v>0</v>
      </c>
      <c r="D72" s="7" t="s">
        <v>15</v>
      </c>
      <c r="E72" s="7" t="n">
        <v>2</v>
      </c>
      <c r="F72" s="9" t="s">
        <v>7</v>
      </c>
    </row>
    <row r="73" customFormat="false" ht="15" hidden="false" customHeight="false" outlineLevel="0" collapsed="false">
      <c r="A73" s="7" t="n">
        <v>72</v>
      </c>
      <c r="B73" s="8" t="n">
        <v>32</v>
      </c>
      <c r="C73" s="7" t="n">
        <v>0</v>
      </c>
      <c r="D73" s="7" t="s">
        <v>15</v>
      </c>
      <c r="E73" s="7" t="n">
        <v>1</v>
      </c>
      <c r="F73" s="9" t="s">
        <v>11</v>
      </c>
    </row>
    <row r="74" customFormat="false" ht="15" hidden="false" customHeight="false" outlineLevel="0" collapsed="false">
      <c r="A74" s="7" t="n">
        <v>73</v>
      </c>
      <c r="B74" s="8" t="n">
        <v>32</v>
      </c>
      <c r="C74" s="7" t="n">
        <v>1</v>
      </c>
      <c r="D74" s="7" t="s">
        <v>6</v>
      </c>
      <c r="E74" s="7" t="n">
        <v>3</v>
      </c>
      <c r="F74" s="9" t="s">
        <v>10</v>
      </c>
    </row>
    <row r="75" customFormat="false" ht="15" hidden="false" customHeight="false" outlineLevel="0" collapsed="false">
      <c r="A75" s="7" t="n">
        <v>74</v>
      </c>
      <c r="B75" s="8" t="n">
        <v>32</v>
      </c>
      <c r="C75" s="7" t="n">
        <v>1</v>
      </c>
      <c r="D75" s="7" t="s">
        <v>6</v>
      </c>
      <c r="E75" s="7" t="n">
        <v>3</v>
      </c>
      <c r="F75" s="9" t="s">
        <v>10</v>
      </c>
    </row>
    <row r="76" customFormat="false" ht="15" hidden="false" customHeight="false" outlineLevel="0" collapsed="false">
      <c r="A76" s="7" t="n">
        <v>75</v>
      </c>
      <c r="B76" s="8" t="n">
        <v>32</v>
      </c>
      <c r="C76" s="7" t="n">
        <v>0</v>
      </c>
      <c r="D76" s="7" t="s">
        <v>15</v>
      </c>
      <c r="E76" s="7" t="n">
        <v>3</v>
      </c>
      <c r="F76" s="9" t="s">
        <v>10</v>
      </c>
    </row>
    <row r="77" customFormat="false" ht="15" hidden="false" customHeight="false" outlineLevel="0" collapsed="false">
      <c r="A77" s="7" t="n">
        <v>76</v>
      </c>
      <c r="B77" s="8" t="n">
        <v>32</v>
      </c>
      <c r="C77" s="7" t="n">
        <v>0</v>
      </c>
      <c r="D77" s="7" t="s">
        <v>15</v>
      </c>
      <c r="E77" s="7" t="n">
        <v>3</v>
      </c>
      <c r="F77" s="9" t="s">
        <v>10</v>
      </c>
    </row>
    <row r="78" customFormat="false" ht="15" hidden="false" customHeight="false" outlineLevel="0" collapsed="false">
      <c r="A78" s="7" t="n">
        <v>77</v>
      </c>
      <c r="B78" s="8" t="n">
        <v>32</v>
      </c>
      <c r="C78" s="7" t="n">
        <v>0</v>
      </c>
      <c r="D78" s="7" t="s">
        <v>15</v>
      </c>
      <c r="E78" s="7" t="n">
        <v>1</v>
      </c>
      <c r="F78" s="9" t="s">
        <v>11</v>
      </c>
    </row>
    <row r="79" customFormat="false" ht="15" hidden="false" customHeight="false" outlineLevel="0" collapsed="false">
      <c r="A79" s="7" t="n">
        <v>78</v>
      </c>
      <c r="B79" s="8" t="n">
        <v>33</v>
      </c>
      <c r="C79" s="7" t="n">
        <v>1</v>
      </c>
      <c r="D79" s="7" t="s">
        <v>6</v>
      </c>
      <c r="E79" s="7" t="n">
        <v>3</v>
      </c>
      <c r="F79" s="9" t="s">
        <v>10</v>
      </c>
    </row>
    <row r="80" customFormat="false" ht="15" hidden="false" customHeight="false" outlineLevel="0" collapsed="false">
      <c r="A80" s="7" t="n">
        <v>79</v>
      </c>
      <c r="B80" s="8" t="n">
        <v>33</v>
      </c>
      <c r="C80" s="7" t="n">
        <v>0</v>
      </c>
      <c r="D80" s="7" t="s">
        <v>15</v>
      </c>
      <c r="E80" s="7" t="n">
        <v>3</v>
      </c>
      <c r="F80" s="9" t="s">
        <v>10</v>
      </c>
    </row>
    <row r="81" customFormat="false" ht="15" hidden="false" customHeight="false" outlineLevel="0" collapsed="false">
      <c r="A81" s="7" t="n">
        <v>80</v>
      </c>
      <c r="B81" s="8" t="n">
        <v>33</v>
      </c>
      <c r="C81" s="7" t="n">
        <v>0</v>
      </c>
      <c r="D81" s="7" t="s">
        <v>15</v>
      </c>
      <c r="E81" s="7" t="n">
        <v>3</v>
      </c>
      <c r="F81" s="9" t="s">
        <v>10</v>
      </c>
    </row>
    <row r="82" customFormat="false" ht="15" hidden="false" customHeight="false" outlineLevel="0" collapsed="false">
      <c r="A82" s="7" t="n">
        <v>81</v>
      </c>
      <c r="B82" s="8" t="n">
        <v>33</v>
      </c>
      <c r="C82" s="7" t="n">
        <v>0</v>
      </c>
      <c r="D82" s="7" t="s">
        <v>15</v>
      </c>
      <c r="E82" s="7" t="n">
        <v>3</v>
      </c>
      <c r="F82" s="9" t="s">
        <v>10</v>
      </c>
    </row>
    <row r="83" customFormat="false" ht="15" hidden="false" customHeight="false" outlineLevel="0" collapsed="false">
      <c r="A83" s="7" t="n">
        <v>82</v>
      </c>
      <c r="B83" s="8" t="n">
        <v>33</v>
      </c>
      <c r="C83" s="7" t="n">
        <v>0</v>
      </c>
      <c r="D83" s="7" t="s">
        <v>15</v>
      </c>
      <c r="E83" s="7" t="n">
        <v>3</v>
      </c>
      <c r="F83" s="9" t="s">
        <v>10</v>
      </c>
    </row>
    <row r="84" customFormat="false" ht="15" hidden="false" customHeight="false" outlineLevel="0" collapsed="false">
      <c r="A84" s="7" t="n">
        <v>83</v>
      </c>
      <c r="B84" s="8" t="n">
        <v>33</v>
      </c>
      <c r="C84" s="7" t="n">
        <v>0</v>
      </c>
      <c r="D84" s="7" t="s">
        <v>15</v>
      </c>
      <c r="E84" s="7" t="n">
        <v>2</v>
      </c>
      <c r="F84" s="9" t="s">
        <v>7</v>
      </c>
    </row>
    <row r="85" customFormat="false" ht="15" hidden="false" customHeight="false" outlineLevel="0" collapsed="false">
      <c r="A85" s="7" t="n">
        <v>84</v>
      </c>
      <c r="B85" s="8" t="n">
        <v>33</v>
      </c>
      <c r="C85" s="7" t="n">
        <v>1</v>
      </c>
      <c r="D85" s="7" t="s">
        <v>6</v>
      </c>
      <c r="E85" s="7" t="n">
        <v>2</v>
      </c>
      <c r="F85" s="9" t="s">
        <v>7</v>
      </c>
    </row>
    <row r="86" customFormat="false" ht="15" hidden="false" customHeight="false" outlineLevel="0" collapsed="false">
      <c r="A86" s="7" t="n">
        <v>85</v>
      </c>
      <c r="B86" s="8" t="n">
        <v>33</v>
      </c>
      <c r="C86" s="7" t="n">
        <v>0</v>
      </c>
      <c r="D86" s="7" t="s">
        <v>15</v>
      </c>
      <c r="E86" s="7" t="n">
        <v>2</v>
      </c>
      <c r="F86" s="9" t="s">
        <v>7</v>
      </c>
    </row>
    <row r="87" customFormat="false" ht="15" hidden="false" customHeight="false" outlineLevel="0" collapsed="false">
      <c r="A87" s="7" t="n">
        <v>86</v>
      </c>
      <c r="B87" s="8" t="n">
        <v>33</v>
      </c>
      <c r="C87" s="7" t="n">
        <v>0</v>
      </c>
      <c r="D87" s="7" t="s">
        <v>15</v>
      </c>
      <c r="E87" s="7" t="n">
        <v>2</v>
      </c>
      <c r="F87" s="9" t="s">
        <v>7</v>
      </c>
    </row>
    <row r="88" customFormat="false" ht="15" hidden="false" customHeight="false" outlineLevel="0" collapsed="false">
      <c r="A88" s="7" t="n">
        <v>87</v>
      </c>
      <c r="B88" s="8" t="n">
        <v>33</v>
      </c>
      <c r="C88" s="7" t="n">
        <v>0</v>
      </c>
      <c r="D88" s="7" t="s">
        <v>15</v>
      </c>
      <c r="E88" s="7" t="n">
        <v>3</v>
      </c>
      <c r="F88" s="9" t="s">
        <v>10</v>
      </c>
    </row>
    <row r="89" customFormat="false" ht="15" hidden="false" customHeight="false" outlineLevel="0" collapsed="false">
      <c r="A89" s="7" t="n">
        <v>88</v>
      </c>
      <c r="B89" s="8" t="n">
        <v>33</v>
      </c>
      <c r="C89" s="7" t="n">
        <v>1</v>
      </c>
      <c r="D89" s="7" t="s">
        <v>6</v>
      </c>
      <c r="E89" s="7" t="n">
        <v>2</v>
      </c>
      <c r="F89" s="9" t="s">
        <v>7</v>
      </c>
    </row>
    <row r="90" customFormat="false" ht="15" hidden="false" customHeight="false" outlineLevel="0" collapsed="false">
      <c r="A90" s="7" t="n">
        <v>89</v>
      </c>
      <c r="B90" s="8" t="n">
        <v>33</v>
      </c>
      <c r="C90" s="7" t="n">
        <v>0</v>
      </c>
      <c r="D90" s="7" t="s">
        <v>15</v>
      </c>
      <c r="E90" s="7" t="n">
        <v>1</v>
      </c>
      <c r="F90" s="9" t="s">
        <v>11</v>
      </c>
    </row>
    <row r="91" customFormat="false" ht="15" hidden="false" customHeight="false" outlineLevel="0" collapsed="false">
      <c r="A91" s="7" t="n">
        <v>90</v>
      </c>
      <c r="B91" s="8" t="n">
        <v>33</v>
      </c>
      <c r="C91" s="7" t="n">
        <v>1</v>
      </c>
      <c r="D91" s="7" t="s">
        <v>6</v>
      </c>
      <c r="E91" s="7" t="n">
        <v>2</v>
      </c>
      <c r="F91" s="9" t="s">
        <v>7</v>
      </c>
    </row>
    <row r="92" customFormat="false" ht="15" hidden="false" customHeight="false" outlineLevel="0" collapsed="false">
      <c r="A92" s="7" t="n">
        <v>91</v>
      </c>
      <c r="B92" s="8" t="n">
        <v>33</v>
      </c>
      <c r="C92" s="7" t="n">
        <v>0</v>
      </c>
      <c r="D92" s="7" t="s">
        <v>15</v>
      </c>
      <c r="E92" s="7" t="n">
        <v>3</v>
      </c>
      <c r="F92" s="9" t="s">
        <v>10</v>
      </c>
    </row>
    <row r="93" customFormat="false" ht="15" hidden="false" customHeight="false" outlineLevel="0" collapsed="false">
      <c r="A93" s="7" t="n">
        <v>92</v>
      </c>
      <c r="B93" s="8" t="n">
        <v>33</v>
      </c>
      <c r="C93" s="7" t="n">
        <v>0</v>
      </c>
      <c r="D93" s="7" t="s">
        <v>15</v>
      </c>
      <c r="E93" s="7" t="n">
        <v>2</v>
      </c>
      <c r="F93" s="9" t="s">
        <v>7</v>
      </c>
    </row>
    <row r="94" customFormat="false" ht="15" hidden="false" customHeight="false" outlineLevel="0" collapsed="false">
      <c r="A94" s="7" t="n">
        <v>93</v>
      </c>
      <c r="B94" s="8" t="n">
        <v>33</v>
      </c>
      <c r="C94" s="7" t="n">
        <v>0</v>
      </c>
      <c r="D94" s="7" t="s">
        <v>15</v>
      </c>
      <c r="E94" s="7" t="n">
        <v>1</v>
      </c>
      <c r="F94" s="9" t="s">
        <v>11</v>
      </c>
    </row>
    <row r="95" customFormat="false" ht="15" hidden="false" customHeight="false" outlineLevel="0" collapsed="false">
      <c r="A95" s="7" t="n">
        <v>94</v>
      </c>
      <c r="B95" s="8" t="n">
        <v>33</v>
      </c>
      <c r="C95" s="7" t="n">
        <v>0</v>
      </c>
      <c r="D95" s="7" t="s">
        <v>15</v>
      </c>
      <c r="E95" s="7" t="n">
        <v>2</v>
      </c>
      <c r="F95" s="9" t="s">
        <v>7</v>
      </c>
    </row>
    <row r="96" customFormat="false" ht="15" hidden="false" customHeight="false" outlineLevel="0" collapsed="false">
      <c r="A96" s="7" t="n">
        <v>95</v>
      </c>
      <c r="B96" s="8" t="n">
        <v>33</v>
      </c>
      <c r="C96" s="7" t="n">
        <v>1</v>
      </c>
      <c r="D96" s="7" t="s">
        <v>6</v>
      </c>
      <c r="E96" s="7" t="n">
        <v>3</v>
      </c>
      <c r="F96" s="9" t="s">
        <v>10</v>
      </c>
    </row>
    <row r="97" customFormat="false" ht="15" hidden="false" customHeight="false" outlineLevel="0" collapsed="false">
      <c r="A97" s="7" t="n">
        <v>96</v>
      </c>
      <c r="B97" s="8" t="n">
        <v>33</v>
      </c>
      <c r="C97" s="7" t="n">
        <v>1</v>
      </c>
      <c r="D97" s="7" t="s">
        <v>6</v>
      </c>
      <c r="E97" s="7" t="n">
        <v>2</v>
      </c>
      <c r="F97" s="9" t="s">
        <v>7</v>
      </c>
    </row>
    <row r="98" customFormat="false" ht="15" hidden="false" customHeight="false" outlineLevel="0" collapsed="false">
      <c r="A98" s="7" t="n">
        <v>97</v>
      </c>
      <c r="B98" s="8" t="n">
        <v>33</v>
      </c>
      <c r="C98" s="7" t="n">
        <v>1</v>
      </c>
      <c r="D98" s="7" t="s">
        <v>6</v>
      </c>
      <c r="E98" s="7" t="n">
        <v>3</v>
      </c>
      <c r="F98" s="9" t="s">
        <v>10</v>
      </c>
    </row>
    <row r="99" customFormat="false" ht="15" hidden="false" customHeight="false" outlineLevel="0" collapsed="false">
      <c r="A99" s="7" t="n">
        <v>98</v>
      </c>
      <c r="B99" s="8" t="n">
        <v>33</v>
      </c>
      <c r="C99" s="7" t="n">
        <v>1</v>
      </c>
      <c r="D99" s="7" t="s">
        <v>6</v>
      </c>
      <c r="E99" s="7" t="n">
        <v>1</v>
      </c>
      <c r="F99" s="9" t="s">
        <v>11</v>
      </c>
    </row>
    <row r="100" customFormat="false" ht="15" hidden="false" customHeight="false" outlineLevel="0" collapsed="false">
      <c r="A100" s="7" t="n">
        <v>99</v>
      </c>
      <c r="B100" s="8" t="n">
        <v>33</v>
      </c>
      <c r="C100" s="7" t="n">
        <v>0</v>
      </c>
      <c r="D100" s="7" t="s">
        <v>15</v>
      </c>
      <c r="E100" s="7" t="n">
        <v>2</v>
      </c>
      <c r="F100" s="9" t="s">
        <v>7</v>
      </c>
    </row>
    <row r="101" customFormat="false" ht="15" hidden="false" customHeight="false" outlineLevel="0" collapsed="false">
      <c r="A101" s="7" t="n">
        <v>100</v>
      </c>
      <c r="B101" s="8" t="n">
        <v>33</v>
      </c>
      <c r="C101" s="7" t="n">
        <v>1</v>
      </c>
      <c r="D101" s="7" t="s">
        <v>6</v>
      </c>
      <c r="E101" s="7" t="n">
        <v>1</v>
      </c>
      <c r="F101" s="9" t="s">
        <v>11</v>
      </c>
    </row>
    <row r="102" customFormat="false" ht="15" hidden="false" customHeight="false" outlineLevel="0" collapsed="false">
      <c r="A102" s="7" t="n">
        <v>101</v>
      </c>
      <c r="B102" s="8" t="n">
        <v>33</v>
      </c>
      <c r="C102" s="7" t="n">
        <v>0</v>
      </c>
      <c r="D102" s="7" t="s">
        <v>15</v>
      </c>
      <c r="E102" s="7" t="n">
        <v>2</v>
      </c>
      <c r="F102" s="9" t="s">
        <v>7</v>
      </c>
    </row>
    <row r="103" customFormat="false" ht="15" hidden="false" customHeight="false" outlineLevel="0" collapsed="false">
      <c r="A103" s="7" t="n">
        <v>102</v>
      </c>
      <c r="B103" s="8" t="n">
        <v>33</v>
      </c>
      <c r="C103" s="7" t="n">
        <v>0</v>
      </c>
      <c r="D103" s="7" t="s">
        <v>15</v>
      </c>
      <c r="E103" s="7" t="n">
        <v>2</v>
      </c>
      <c r="F103" s="9" t="s">
        <v>7</v>
      </c>
    </row>
    <row r="104" customFormat="false" ht="15" hidden="false" customHeight="false" outlineLevel="0" collapsed="false">
      <c r="A104" s="7" t="n">
        <v>103</v>
      </c>
      <c r="B104" s="8" t="n">
        <v>34</v>
      </c>
      <c r="C104" s="7" t="n">
        <v>1</v>
      </c>
      <c r="D104" s="7" t="s">
        <v>6</v>
      </c>
      <c r="E104" s="7" t="n">
        <v>2</v>
      </c>
      <c r="F104" s="9" t="s">
        <v>7</v>
      </c>
    </row>
    <row r="105" customFormat="false" ht="15" hidden="false" customHeight="false" outlineLevel="0" collapsed="false">
      <c r="A105" s="7" t="n">
        <v>104</v>
      </c>
      <c r="B105" s="8" t="n">
        <v>34</v>
      </c>
      <c r="C105" s="7" t="n">
        <v>1</v>
      </c>
      <c r="D105" s="7" t="s">
        <v>6</v>
      </c>
      <c r="E105" s="7" t="n">
        <v>2</v>
      </c>
      <c r="F105" s="9" t="s">
        <v>7</v>
      </c>
    </row>
    <row r="106" customFormat="false" ht="15" hidden="false" customHeight="false" outlineLevel="0" collapsed="false">
      <c r="A106" s="7" t="n">
        <v>105</v>
      </c>
      <c r="B106" s="8" t="n">
        <v>34</v>
      </c>
      <c r="C106" s="7" t="n">
        <v>1</v>
      </c>
      <c r="D106" s="7" t="s">
        <v>6</v>
      </c>
      <c r="E106" s="7" t="n">
        <v>1</v>
      </c>
      <c r="F106" s="9" t="s">
        <v>11</v>
      </c>
    </row>
    <row r="107" customFormat="false" ht="15" hidden="false" customHeight="false" outlineLevel="0" collapsed="false">
      <c r="A107" s="7" t="n">
        <v>106</v>
      </c>
      <c r="B107" s="8" t="n">
        <v>34</v>
      </c>
      <c r="C107" s="7" t="n">
        <v>0</v>
      </c>
      <c r="D107" s="7" t="s">
        <v>15</v>
      </c>
      <c r="E107" s="7" t="n">
        <v>1</v>
      </c>
      <c r="F107" s="9" t="s">
        <v>11</v>
      </c>
    </row>
    <row r="108" customFormat="false" ht="15" hidden="false" customHeight="false" outlineLevel="0" collapsed="false">
      <c r="A108" s="7" t="n">
        <v>107</v>
      </c>
      <c r="B108" s="8" t="n">
        <v>34</v>
      </c>
      <c r="C108" s="7" t="n">
        <v>1</v>
      </c>
      <c r="D108" s="7" t="s">
        <v>6</v>
      </c>
      <c r="E108" s="7" t="n">
        <v>1</v>
      </c>
      <c r="F108" s="9" t="s">
        <v>11</v>
      </c>
    </row>
    <row r="109" customFormat="false" ht="15" hidden="false" customHeight="false" outlineLevel="0" collapsed="false">
      <c r="A109" s="7" t="n">
        <v>108</v>
      </c>
      <c r="B109" s="8" t="n">
        <v>34</v>
      </c>
      <c r="C109" s="7" t="n">
        <v>0</v>
      </c>
      <c r="D109" s="7" t="s">
        <v>15</v>
      </c>
      <c r="E109" s="7" t="n">
        <v>2</v>
      </c>
      <c r="F109" s="9" t="s">
        <v>7</v>
      </c>
    </row>
    <row r="110" customFormat="false" ht="15" hidden="false" customHeight="false" outlineLevel="0" collapsed="false">
      <c r="A110" s="7" t="n">
        <v>109</v>
      </c>
      <c r="B110" s="8" t="n">
        <v>34</v>
      </c>
      <c r="C110" s="7" t="n">
        <v>1</v>
      </c>
      <c r="D110" s="7" t="s">
        <v>6</v>
      </c>
      <c r="E110" s="7" t="n">
        <v>1</v>
      </c>
      <c r="F110" s="9" t="s">
        <v>11</v>
      </c>
    </row>
    <row r="111" customFormat="false" ht="15" hidden="false" customHeight="false" outlineLevel="0" collapsed="false">
      <c r="A111" s="7" t="n">
        <v>110</v>
      </c>
      <c r="B111" s="8" t="n">
        <v>34</v>
      </c>
      <c r="C111" s="7" t="n">
        <v>1</v>
      </c>
      <c r="D111" s="7" t="s">
        <v>6</v>
      </c>
      <c r="E111" s="7" t="n">
        <v>3</v>
      </c>
      <c r="F111" s="9" t="s">
        <v>10</v>
      </c>
    </row>
    <row r="112" customFormat="false" ht="15" hidden="false" customHeight="false" outlineLevel="0" collapsed="false">
      <c r="A112" s="7" t="n">
        <v>111</v>
      </c>
      <c r="B112" s="8" t="n">
        <v>34</v>
      </c>
      <c r="C112" s="7" t="n">
        <v>1</v>
      </c>
      <c r="D112" s="7" t="s">
        <v>6</v>
      </c>
      <c r="E112" s="7" t="n">
        <v>2</v>
      </c>
      <c r="F112" s="9" t="s">
        <v>7</v>
      </c>
    </row>
    <row r="113" customFormat="false" ht="15" hidden="false" customHeight="false" outlineLevel="0" collapsed="false">
      <c r="A113" s="7" t="n">
        <v>112</v>
      </c>
      <c r="B113" s="8" t="n">
        <v>34</v>
      </c>
      <c r="C113" s="7" t="n">
        <v>0</v>
      </c>
      <c r="D113" s="7" t="s">
        <v>15</v>
      </c>
      <c r="E113" s="7" t="n">
        <v>3</v>
      </c>
      <c r="F113" s="9" t="s">
        <v>10</v>
      </c>
    </row>
    <row r="114" customFormat="false" ht="15" hidden="false" customHeight="false" outlineLevel="0" collapsed="false">
      <c r="A114" s="7" t="n">
        <v>113</v>
      </c>
      <c r="B114" s="8" t="n">
        <v>34</v>
      </c>
      <c r="C114" s="7" t="n">
        <v>1</v>
      </c>
      <c r="D114" s="7" t="s">
        <v>6</v>
      </c>
      <c r="E114" s="7" t="n">
        <v>2</v>
      </c>
      <c r="F114" s="9" t="s">
        <v>7</v>
      </c>
    </row>
    <row r="115" customFormat="false" ht="15" hidden="false" customHeight="false" outlineLevel="0" collapsed="false">
      <c r="A115" s="7" t="n">
        <v>114</v>
      </c>
      <c r="B115" s="8" t="n">
        <v>34</v>
      </c>
      <c r="C115" s="7" t="n">
        <v>1</v>
      </c>
      <c r="D115" s="7" t="s">
        <v>6</v>
      </c>
      <c r="E115" s="7" t="n">
        <v>3</v>
      </c>
      <c r="F115" s="9" t="s">
        <v>10</v>
      </c>
    </row>
    <row r="116" customFormat="false" ht="15" hidden="false" customHeight="false" outlineLevel="0" collapsed="false">
      <c r="A116" s="7" t="n">
        <v>115</v>
      </c>
      <c r="B116" s="8" t="n">
        <v>34</v>
      </c>
      <c r="C116" s="7" t="n">
        <v>1</v>
      </c>
      <c r="D116" s="7" t="s">
        <v>6</v>
      </c>
      <c r="E116" s="7" t="n">
        <v>3</v>
      </c>
      <c r="F116" s="9" t="s">
        <v>10</v>
      </c>
    </row>
    <row r="117" customFormat="false" ht="15" hidden="false" customHeight="false" outlineLevel="0" collapsed="false">
      <c r="A117" s="7" t="n">
        <v>116</v>
      </c>
      <c r="B117" s="8" t="n">
        <v>34</v>
      </c>
      <c r="C117" s="7" t="n">
        <v>0</v>
      </c>
      <c r="D117" s="7" t="s">
        <v>15</v>
      </c>
      <c r="E117" s="7" t="n">
        <v>3</v>
      </c>
      <c r="F117" s="9" t="s">
        <v>10</v>
      </c>
    </row>
    <row r="118" customFormat="false" ht="15" hidden="false" customHeight="false" outlineLevel="0" collapsed="false">
      <c r="A118" s="7" t="n">
        <v>117</v>
      </c>
      <c r="B118" s="8" t="n">
        <v>34</v>
      </c>
      <c r="C118" s="7" t="n">
        <v>0</v>
      </c>
      <c r="D118" s="7" t="s">
        <v>15</v>
      </c>
      <c r="E118" s="7" t="n">
        <v>2</v>
      </c>
      <c r="F118" s="9" t="s">
        <v>7</v>
      </c>
    </row>
    <row r="119" customFormat="false" ht="15" hidden="false" customHeight="false" outlineLevel="0" collapsed="false">
      <c r="A119" s="7" t="n">
        <v>118</v>
      </c>
      <c r="B119" s="8" t="n">
        <v>34</v>
      </c>
      <c r="C119" s="7" t="n">
        <v>0</v>
      </c>
      <c r="D119" s="7" t="s">
        <v>15</v>
      </c>
      <c r="E119" s="7" t="n">
        <v>1</v>
      </c>
      <c r="F119" s="9" t="s">
        <v>11</v>
      </c>
    </row>
    <row r="120" customFormat="false" ht="15" hidden="false" customHeight="false" outlineLevel="0" collapsed="false">
      <c r="A120" s="7" t="n">
        <v>119</v>
      </c>
      <c r="B120" s="8" t="n">
        <v>34</v>
      </c>
      <c r="C120" s="7" t="n">
        <v>0</v>
      </c>
      <c r="D120" s="7" t="s">
        <v>15</v>
      </c>
      <c r="E120" s="7" t="n">
        <v>1</v>
      </c>
      <c r="F120" s="9" t="s">
        <v>11</v>
      </c>
    </row>
    <row r="121" customFormat="false" ht="15" hidden="false" customHeight="false" outlineLevel="0" collapsed="false">
      <c r="A121" s="7" t="n">
        <v>120</v>
      </c>
      <c r="B121" s="8" t="n">
        <v>34</v>
      </c>
      <c r="C121" s="7" t="n">
        <v>1</v>
      </c>
      <c r="D121" s="7" t="s">
        <v>6</v>
      </c>
      <c r="E121" s="7" t="n">
        <v>1</v>
      </c>
      <c r="F121" s="9" t="s">
        <v>11</v>
      </c>
    </row>
    <row r="122" customFormat="false" ht="15" hidden="false" customHeight="false" outlineLevel="0" collapsed="false">
      <c r="A122" s="7" t="n">
        <v>121</v>
      </c>
      <c r="B122" s="8" t="n">
        <v>34</v>
      </c>
      <c r="C122" s="7" t="n">
        <v>1</v>
      </c>
      <c r="D122" s="7" t="s">
        <v>6</v>
      </c>
      <c r="E122" s="7" t="n">
        <v>3</v>
      </c>
      <c r="F122" s="9" t="s">
        <v>10</v>
      </c>
    </row>
    <row r="123" customFormat="false" ht="15" hidden="false" customHeight="false" outlineLevel="0" collapsed="false">
      <c r="A123" s="7" t="n">
        <v>122</v>
      </c>
      <c r="B123" s="8" t="n">
        <v>34</v>
      </c>
      <c r="C123" s="7" t="n">
        <v>1</v>
      </c>
      <c r="D123" s="7" t="s">
        <v>6</v>
      </c>
      <c r="E123" s="7" t="n">
        <v>1</v>
      </c>
      <c r="F123" s="9" t="s">
        <v>11</v>
      </c>
    </row>
    <row r="124" customFormat="false" ht="15" hidden="false" customHeight="false" outlineLevel="0" collapsed="false">
      <c r="A124" s="7" t="n">
        <v>123</v>
      </c>
      <c r="B124" s="8" t="n">
        <v>34</v>
      </c>
      <c r="C124" s="7" t="n">
        <v>1</v>
      </c>
      <c r="D124" s="7" t="s">
        <v>6</v>
      </c>
      <c r="E124" s="7" t="n">
        <v>3</v>
      </c>
      <c r="F124" s="9" t="s">
        <v>10</v>
      </c>
    </row>
    <row r="125" customFormat="false" ht="15" hidden="false" customHeight="false" outlineLevel="0" collapsed="false">
      <c r="A125" s="7" t="n">
        <v>124</v>
      </c>
      <c r="B125" s="8" t="n">
        <v>34</v>
      </c>
      <c r="C125" s="7" t="n">
        <v>1</v>
      </c>
      <c r="D125" s="7" t="s">
        <v>6</v>
      </c>
      <c r="E125" s="7" t="n">
        <v>1</v>
      </c>
      <c r="F125" s="9" t="s">
        <v>11</v>
      </c>
    </row>
    <row r="126" customFormat="false" ht="15" hidden="false" customHeight="false" outlineLevel="0" collapsed="false">
      <c r="A126" s="7" t="n">
        <v>125</v>
      </c>
      <c r="B126" s="8" t="n">
        <v>34</v>
      </c>
      <c r="C126" s="7" t="n">
        <v>0</v>
      </c>
      <c r="D126" s="7" t="s">
        <v>15</v>
      </c>
      <c r="E126" s="7" t="n">
        <v>3</v>
      </c>
      <c r="F126" s="9" t="s">
        <v>10</v>
      </c>
    </row>
    <row r="127" customFormat="false" ht="15" hidden="false" customHeight="false" outlineLevel="0" collapsed="false">
      <c r="A127" s="7" t="n">
        <v>126</v>
      </c>
      <c r="B127" s="8" t="n">
        <v>34</v>
      </c>
      <c r="C127" s="7" t="n">
        <v>0</v>
      </c>
      <c r="D127" s="7" t="s">
        <v>15</v>
      </c>
      <c r="E127" s="7" t="n">
        <v>3</v>
      </c>
      <c r="F127" s="9" t="s">
        <v>10</v>
      </c>
    </row>
    <row r="128" customFormat="false" ht="15" hidden="false" customHeight="false" outlineLevel="0" collapsed="false">
      <c r="A128" s="7" t="n">
        <v>127</v>
      </c>
      <c r="B128" s="8" t="n">
        <v>34</v>
      </c>
      <c r="C128" s="7" t="n">
        <v>1</v>
      </c>
      <c r="D128" s="7" t="s">
        <v>6</v>
      </c>
      <c r="E128" s="7" t="n">
        <v>3</v>
      </c>
      <c r="F128" s="9" t="s">
        <v>10</v>
      </c>
    </row>
    <row r="129" customFormat="false" ht="15" hidden="false" customHeight="false" outlineLevel="0" collapsed="false">
      <c r="A129" s="7" t="n">
        <v>128</v>
      </c>
      <c r="B129" s="8" t="n">
        <v>35</v>
      </c>
      <c r="C129" s="7" t="n">
        <v>0</v>
      </c>
      <c r="D129" s="7" t="s">
        <v>15</v>
      </c>
      <c r="E129" s="7" t="n">
        <v>1</v>
      </c>
      <c r="F129" s="9" t="s">
        <v>11</v>
      </c>
    </row>
    <row r="130" customFormat="false" ht="15" hidden="false" customHeight="false" outlineLevel="0" collapsed="false">
      <c r="A130" s="7" t="n">
        <v>129</v>
      </c>
      <c r="B130" s="8" t="n">
        <v>35</v>
      </c>
      <c r="C130" s="7" t="n">
        <v>1</v>
      </c>
      <c r="D130" s="7" t="s">
        <v>6</v>
      </c>
      <c r="E130" s="7" t="n">
        <v>2</v>
      </c>
      <c r="F130" s="9" t="s">
        <v>7</v>
      </c>
    </row>
    <row r="131" customFormat="false" ht="15" hidden="false" customHeight="false" outlineLevel="0" collapsed="false">
      <c r="A131" s="7" t="n">
        <v>130</v>
      </c>
      <c r="B131" s="8" t="n">
        <v>35</v>
      </c>
      <c r="C131" s="7" t="n">
        <v>1</v>
      </c>
      <c r="D131" s="7" t="s">
        <v>6</v>
      </c>
      <c r="E131" s="7" t="n">
        <v>2</v>
      </c>
      <c r="F131" s="9" t="s">
        <v>7</v>
      </c>
    </row>
    <row r="132" customFormat="false" ht="15" hidden="false" customHeight="false" outlineLevel="0" collapsed="false">
      <c r="A132" s="7" t="n">
        <v>131</v>
      </c>
      <c r="B132" s="8" t="n">
        <v>35</v>
      </c>
      <c r="C132" s="7" t="n">
        <v>0</v>
      </c>
      <c r="D132" s="7" t="s">
        <v>15</v>
      </c>
      <c r="E132" s="7" t="n">
        <v>3</v>
      </c>
      <c r="F132" s="9" t="s">
        <v>10</v>
      </c>
    </row>
    <row r="133" customFormat="false" ht="15" hidden="false" customHeight="false" outlineLevel="0" collapsed="false">
      <c r="A133" s="7" t="n">
        <v>132</v>
      </c>
      <c r="B133" s="8" t="n">
        <v>35</v>
      </c>
      <c r="C133" s="7" t="n">
        <v>1</v>
      </c>
      <c r="D133" s="7" t="s">
        <v>6</v>
      </c>
      <c r="E133" s="7" t="n">
        <v>1</v>
      </c>
      <c r="F133" s="9" t="s">
        <v>11</v>
      </c>
    </row>
    <row r="134" customFormat="false" ht="15" hidden="false" customHeight="false" outlineLevel="0" collapsed="false">
      <c r="A134" s="7" t="n">
        <v>133</v>
      </c>
      <c r="B134" s="8" t="n">
        <v>35</v>
      </c>
      <c r="C134" s="7" t="n">
        <v>0</v>
      </c>
      <c r="D134" s="7" t="s">
        <v>15</v>
      </c>
      <c r="E134" s="7" t="n">
        <v>2</v>
      </c>
      <c r="F134" s="9" t="s">
        <v>7</v>
      </c>
    </row>
    <row r="135" customFormat="false" ht="15" hidden="false" customHeight="false" outlineLevel="0" collapsed="false">
      <c r="A135" s="7" t="n">
        <v>134</v>
      </c>
      <c r="B135" s="8" t="n">
        <v>35</v>
      </c>
      <c r="C135" s="7" t="n">
        <v>1</v>
      </c>
      <c r="D135" s="7" t="s">
        <v>6</v>
      </c>
      <c r="E135" s="7" t="n">
        <v>1</v>
      </c>
      <c r="F135" s="9" t="s">
        <v>11</v>
      </c>
    </row>
    <row r="136" customFormat="false" ht="15" hidden="false" customHeight="false" outlineLevel="0" collapsed="false">
      <c r="A136" s="7" t="n">
        <v>135</v>
      </c>
      <c r="B136" s="8" t="n">
        <v>35</v>
      </c>
      <c r="C136" s="7" t="n">
        <v>1</v>
      </c>
      <c r="D136" s="7" t="s">
        <v>6</v>
      </c>
      <c r="E136" s="7" t="n">
        <v>1</v>
      </c>
      <c r="F136" s="9" t="s">
        <v>11</v>
      </c>
    </row>
    <row r="137" customFormat="false" ht="15" hidden="false" customHeight="false" outlineLevel="0" collapsed="false">
      <c r="A137" s="7" t="n">
        <v>136</v>
      </c>
      <c r="B137" s="8" t="n">
        <v>35</v>
      </c>
      <c r="C137" s="7" t="n">
        <v>0</v>
      </c>
      <c r="D137" s="7" t="s">
        <v>15</v>
      </c>
      <c r="E137" s="7" t="n">
        <v>1</v>
      </c>
      <c r="F137" s="9" t="s">
        <v>11</v>
      </c>
    </row>
    <row r="138" customFormat="false" ht="15" hidden="false" customHeight="false" outlineLevel="0" collapsed="false">
      <c r="A138" s="7" t="n">
        <v>137</v>
      </c>
      <c r="B138" s="8" t="n">
        <v>35</v>
      </c>
      <c r="C138" s="7" t="n">
        <v>0</v>
      </c>
      <c r="D138" s="7" t="s">
        <v>15</v>
      </c>
      <c r="E138" s="7" t="n">
        <v>3</v>
      </c>
      <c r="F138" s="9" t="s">
        <v>10</v>
      </c>
    </row>
    <row r="139" customFormat="false" ht="15" hidden="false" customHeight="false" outlineLevel="0" collapsed="false">
      <c r="A139" s="7" t="n">
        <v>138</v>
      </c>
      <c r="B139" s="8" t="n">
        <v>35</v>
      </c>
      <c r="C139" s="7" t="n">
        <v>0</v>
      </c>
      <c r="D139" s="7" t="s">
        <v>15</v>
      </c>
      <c r="E139" s="7" t="n">
        <v>1</v>
      </c>
      <c r="F139" s="9" t="s">
        <v>11</v>
      </c>
    </row>
    <row r="140" customFormat="false" ht="15" hidden="false" customHeight="false" outlineLevel="0" collapsed="false">
      <c r="A140" s="7" t="n">
        <v>139</v>
      </c>
      <c r="B140" s="8" t="n">
        <v>35</v>
      </c>
      <c r="C140" s="7" t="n">
        <v>1</v>
      </c>
      <c r="D140" s="7" t="s">
        <v>6</v>
      </c>
      <c r="E140" s="7" t="n">
        <v>1</v>
      </c>
      <c r="F140" s="9" t="s">
        <v>11</v>
      </c>
    </row>
    <row r="141" customFormat="false" ht="15" hidden="false" customHeight="false" outlineLevel="0" collapsed="false">
      <c r="A141" s="7" t="n">
        <v>140</v>
      </c>
      <c r="B141" s="8" t="n">
        <v>35</v>
      </c>
      <c r="C141" s="7" t="n">
        <v>0</v>
      </c>
      <c r="D141" s="7" t="s">
        <v>15</v>
      </c>
      <c r="E141" s="7" t="n">
        <v>2</v>
      </c>
      <c r="F141" s="9" t="s">
        <v>7</v>
      </c>
    </row>
    <row r="142" customFormat="false" ht="15" hidden="false" customHeight="false" outlineLevel="0" collapsed="false">
      <c r="A142" s="7" t="n">
        <v>141</v>
      </c>
      <c r="B142" s="8" t="n">
        <v>35</v>
      </c>
      <c r="C142" s="7" t="n">
        <v>0</v>
      </c>
      <c r="D142" s="7" t="s">
        <v>15</v>
      </c>
      <c r="E142" s="7" t="n">
        <v>1</v>
      </c>
      <c r="F142" s="9" t="s">
        <v>11</v>
      </c>
    </row>
    <row r="143" customFormat="false" ht="15" hidden="false" customHeight="false" outlineLevel="0" collapsed="false">
      <c r="A143" s="7" t="n">
        <v>142</v>
      </c>
      <c r="B143" s="8" t="n">
        <v>35</v>
      </c>
      <c r="C143" s="7" t="n">
        <v>0</v>
      </c>
      <c r="D143" s="7" t="s">
        <v>15</v>
      </c>
      <c r="E143" s="7" t="n">
        <v>2</v>
      </c>
      <c r="F143" s="9" t="s">
        <v>7</v>
      </c>
    </row>
    <row r="144" customFormat="false" ht="15" hidden="false" customHeight="false" outlineLevel="0" collapsed="false">
      <c r="A144" s="7" t="n">
        <v>143</v>
      </c>
      <c r="B144" s="8" t="n">
        <v>35</v>
      </c>
      <c r="C144" s="7" t="n">
        <v>1</v>
      </c>
      <c r="D144" s="7" t="s">
        <v>6</v>
      </c>
      <c r="E144" s="7" t="n">
        <v>2</v>
      </c>
      <c r="F144" s="9" t="s">
        <v>7</v>
      </c>
    </row>
    <row r="145" customFormat="false" ht="15" hidden="false" customHeight="false" outlineLevel="0" collapsed="false">
      <c r="A145" s="7" t="n">
        <v>144</v>
      </c>
      <c r="B145" s="8" t="n">
        <v>35</v>
      </c>
      <c r="C145" s="7" t="n">
        <v>1</v>
      </c>
      <c r="D145" s="7" t="s">
        <v>6</v>
      </c>
      <c r="E145" s="7" t="n">
        <v>1</v>
      </c>
      <c r="F145" s="9" t="s">
        <v>11</v>
      </c>
    </row>
    <row r="146" customFormat="false" ht="15" hidden="false" customHeight="false" outlineLevel="0" collapsed="false">
      <c r="A146" s="7" t="n">
        <v>145</v>
      </c>
      <c r="B146" s="8" t="n">
        <v>35</v>
      </c>
      <c r="C146" s="7" t="n">
        <v>1</v>
      </c>
      <c r="D146" s="7" t="s">
        <v>6</v>
      </c>
      <c r="E146" s="7" t="n">
        <v>1</v>
      </c>
      <c r="F146" s="9" t="s">
        <v>11</v>
      </c>
    </row>
    <row r="147" customFormat="false" ht="15" hidden="false" customHeight="false" outlineLevel="0" collapsed="false">
      <c r="A147" s="7" t="n">
        <v>146</v>
      </c>
      <c r="B147" s="8" t="n">
        <v>35</v>
      </c>
      <c r="C147" s="7" t="n">
        <v>0</v>
      </c>
      <c r="D147" s="7" t="s">
        <v>15</v>
      </c>
      <c r="E147" s="7" t="n">
        <v>2</v>
      </c>
      <c r="F147" s="9" t="s">
        <v>7</v>
      </c>
    </row>
    <row r="148" customFormat="false" ht="15" hidden="false" customHeight="false" outlineLevel="0" collapsed="false">
      <c r="A148" s="7" t="n">
        <v>147</v>
      </c>
      <c r="B148" s="8" t="n">
        <v>35</v>
      </c>
      <c r="C148" s="7" t="n">
        <v>1</v>
      </c>
      <c r="D148" s="7" t="s">
        <v>6</v>
      </c>
      <c r="E148" s="7" t="n">
        <v>3</v>
      </c>
      <c r="F148" s="9" t="s">
        <v>10</v>
      </c>
    </row>
    <row r="149" customFormat="false" ht="15" hidden="false" customHeight="false" outlineLevel="0" collapsed="false">
      <c r="A149" s="7" t="n">
        <v>148</v>
      </c>
      <c r="B149" s="8" t="n">
        <v>35</v>
      </c>
      <c r="C149" s="7" t="n">
        <v>0</v>
      </c>
      <c r="D149" s="7" t="s">
        <v>15</v>
      </c>
      <c r="E149" s="7" t="n">
        <v>1</v>
      </c>
      <c r="F149" s="9" t="s">
        <v>11</v>
      </c>
    </row>
    <row r="150" customFormat="false" ht="15" hidden="false" customHeight="false" outlineLevel="0" collapsed="false">
      <c r="A150" s="7" t="n">
        <v>149</v>
      </c>
      <c r="B150" s="8" t="n">
        <v>35</v>
      </c>
      <c r="C150" s="7" t="n">
        <v>0</v>
      </c>
      <c r="D150" s="7" t="s">
        <v>15</v>
      </c>
      <c r="E150" s="7" t="n">
        <v>2</v>
      </c>
      <c r="F150" s="9" t="s">
        <v>7</v>
      </c>
    </row>
    <row r="151" customFormat="false" ht="15" hidden="false" customHeight="false" outlineLevel="0" collapsed="false">
      <c r="A151" s="7" t="n">
        <v>150</v>
      </c>
      <c r="B151" s="8" t="n">
        <v>35</v>
      </c>
      <c r="C151" s="7" t="n">
        <v>0</v>
      </c>
      <c r="D151" s="7" t="s">
        <v>15</v>
      </c>
      <c r="E151" s="7" t="n">
        <v>3</v>
      </c>
      <c r="F151" s="9" t="s">
        <v>10</v>
      </c>
    </row>
    <row r="152" customFormat="false" ht="15" hidden="false" customHeight="false" outlineLevel="0" collapsed="false">
      <c r="A152" s="7" t="n">
        <v>151</v>
      </c>
      <c r="B152" s="8" t="n">
        <v>35</v>
      </c>
      <c r="C152" s="7" t="n">
        <v>1</v>
      </c>
      <c r="D152" s="7" t="s">
        <v>6</v>
      </c>
      <c r="E152" s="7" t="n">
        <v>3</v>
      </c>
      <c r="F152" s="9" t="s">
        <v>10</v>
      </c>
    </row>
    <row r="153" customFormat="false" ht="15" hidden="false" customHeight="false" outlineLevel="0" collapsed="false">
      <c r="A153" s="7" t="n">
        <v>152</v>
      </c>
      <c r="B153" s="8" t="n">
        <v>35</v>
      </c>
      <c r="C153" s="7" t="n">
        <v>0</v>
      </c>
      <c r="D153" s="7" t="s">
        <v>15</v>
      </c>
      <c r="E153" s="7" t="n">
        <v>3</v>
      </c>
      <c r="F153" s="9" t="s">
        <v>10</v>
      </c>
    </row>
    <row r="154" customFormat="false" ht="15" hidden="false" customHeight="false" outlineLevel="0" collapsed="false">
      <c r="A154" s="7" t="n">
        <v>153</v>
      </c>
      <c r="B154" s="8" t="n">
        <v>35</v>
      </c>
      <c r="C154" s="7" t="n">
        <v>1</v>
      </c>
      <c r="D154" s="7" t="s">
        <v>6</v>
      </c>
      <c r="E154" s="7" t="n">
        <v>3</v>
      </c>
      <c r="F154" s="9" t="s">
        <v>10</v>
      </c>
    </row>
    <row r="155" customFormat="false" ht="15" hidden="false" customHeight="false" outlineLevel="0" collapsed="false">
      <c r="A155" s="7" t="n">
        <v>154</v>
      </c>
      <c r="B155" s="8" t="n">
        <v>35</v>
      </c>
      <c r="C155" s="7" t="n">
        <v>1</v>
      </c>
      <c r="D155" s="7" t="s">
        <v>6</v>
      </c>
      <c r="E155" s="7" t="n">
        <v>1</v>
      </c>
      <c r="F155" s="9" t="s">
        <v>11</v>
      </c>
    </row>
    <row r="156" customFormat="false" ht="15" hidden="false" customHeight="false" outlineLevel="0" collapsed="false">
      <c r="A156" s="7" t="n">
        <v>155</v>
      </c>
      <c r="B156" s="8" t="n">
        <v>35</v>
      </c>
      <c r="C156" s="7" t="n">
        <v>0</v>
      </c>
      <c r="D156" s="7" t="s">
        <v>15</v>
      </c>
      <c r="E156" s="7" t="n">
        <v>1</v>
      </c>
      <c r="F156" s="9" t="s">
        <v>11</v>
      </c>
    </row>
    <row r="157" customFormat="false" ht="15" hidden="false" customHeight="false" outlineLevel="0" collapsed="false">
      <c r="A157" s="7" t="n">
        <v>156</v>
      </c>
      <c r="B157" s="8" t="n">
        <v>35</v>
      </c>
      <c r="C157" s="7" t="n">
        <v>1</v>
      </c>
      <c r="D157" s="7" t="s">
        <v>6</v>
      </c>
      <c r="E157" s="7" t="n">
        <v>2</v>
      </c>
      <c r="F157" s="9" t="s">
        <v>7</v>
      </c>
    </row>
    <row r="158" customFormat="false" ht="15" hidden="false" customHeight="false" outlineLevel="0" collapsed="false">
      <c r="A158" s="7" t="n">
        <v>157</v>
      </c>
      <c r="B158" s="8" t="n">
        <v>35</v>
      </c>
      <c r="C158" s="7" t="n">
        <v>1</v>
      </c>
      <c r="D158" s="7" t="s">
        <v>6</v>
      </c>
      <c r="E158" s="7" t="n">
        <v>1</v>
      </c>
      <c r="F158" s="9" t="s">
        <v>11</v>
      </c>
    </row>
    <row r="159" customFormat="false" ht="15" hidden="false" customHeight="false" outlineLevel="0" collapsed="false">
      <c r="A159" s="7" t="n">
        <v>158</v>
      </c>
      <c r="B159" s="8" t="n">
        <v>35</v>
      </c>
      <c r="C159" s="7" t="n">
        <v>0</v>
      </c>
      <c r="D159" s="7" t="s">
        <v>15</v>
      </c>
      <c r="E159" s="7" t="n">
        <v>1</v>
      </c>
      <c r="F159" s="9" t="s">
        <v>11</v>
      </c>
    </row>
    <row r="160" customFormat="false" ht="15" hidden="false" customHeight="false" outlineLevel="0" collapsed="false">
      <c r="A160" s="7" t="n">
        <v>159</v>
      </c>
      <c r="B160" s="8" t="n">
        <v>35</v>
      </c>
      <c r="C160" s="7" t="n">
        <v>0</v>
      </c>
      <c r="D160" s="7" t="s">
        <v>15</v>
      </c>
      <c r="E160" s="7" t="n">
        <v>3</v>
      </c>
      <c r="F160" s="9" t="s">
        <v>10</v>
      </c>
    </row>
    <row r="161" customFormat="false" ht="15" hidden="false" customHeight="false" outlineLevel="0" collapsed="false">
      <c r="A161" s="7" t="n">
        <v>160</v>
      </c>
      <c r="B161" s="8" t="n">
        <v>35</v>
      </c>
      <c r="C161" s="7" t="n">
        <v>0</v>
      </c>
      <c r="D161" s="7" t="s">
        <v>15</v>
      </c>
      <c r="E161" s="7" t="n">
        <v>2</v>
      </c>
      <c r="F161" s="9" t="s">
        <v>7</v>
      </c>
    </row>
    <row r="162" customFormat="false" ht="15" hidden="false" customHeight="false" outlineLevel="0" collapsed="false">
      <c r="A162" s="7" t="n">
        <v>161</v>
      </c>
      <c r="B162" s="8" t="n">
        <v>35</v>
      </c>
      <c r="C162" s="7" t="n">
        <v>1</v>
      </c>
      <c r="D162" s="7" t="s">
        <v>6</v>
      </c>
      <c r="E162" s="7" t="n">
        <v>1</v>
      </c>
      <c r="F162" s="9" t="s">
        <v>11</v>
      </c>
    </row>
    <row r="163" customFormat="false" ht="15" hidden="false" customHeight="false" outlineLevel="0" collapsed="false">
      <c r="A163" s="7" t="n">
        <v>162</v>
      </c>
      <c r="B163" s="8" t="n">
        <v>35</v>
      </c>
      <c r="C163" s="7" t="n">
        <v>0</v>
      </c>
      <c r="D163" s="7" t="s">
        <v>15</v>
      </c>
      <c r="E163" s="7" t="n">
        <v>2</v>
      </c>
      <c r="F163" s="9" t="s">
        <v>7</v>
      </c>
    </row>
    <row r="164" customFormat="false" ht="15" hidden="false" customHeight="false" outlineLevel="0" collapsed="false">
      <c r="A164" s="7" t="n">
        <v>163</v>
      </c>
      <c r="B164" s="8" t="n">
        <v>35</v>
      </c>
      <c r="C164" s="7" t="n">
        <v>1</v>
      </c>
      <c r="D164" s="7" t="s">
        <v>6</v>
      </c>
      <c r="E164" s="7" t="n">
        <v>3</v>
      </c>
      <c r="F164" s="9" t="s">
        <v>10</v>
      </c>
    </row>
    <row r="165" customFormat="false" ht="15" hidden="false" customHeight="false" outlineLevel="0" collapsed="false">
      <c r="A165" s="7" t="n">
        <v>164</v>
      </c>
      <c r="B165" s="8" t="n">
        <v>36</v>
      </c>
      <c r="C165" s="7" t="n">
        <v>1</v>
      </c>
      <c r="D165" s="7" t="s">
        <v>6</v>
      </c>
      <c r="E165" s="7" t="n">
        <v>2</v>
      </c>
      <c r="F165" s="9" t="s">
        <v>7</v>
      </c>
    </row>
    <row r="166" customFormat="false" ht="15" hidden="false" customHeight="false" outlineLevel="0" collapsed="false">
      <c r="A166" s="7" t="n">
        <v>165</v>
      </c>
      <c r="B166" s="8" t="n">
        <v>36</v>
      </c>
      <c r="C166" s="7" t="n">
        <v>0</v>
      </c>
      <c r="D166" s="7" t="s">
        <v>15</v>
      </c>
      <c r="E166" s="7" t="n">
        <v>1</v>
      </c>
      <c r="F166" s="9" t="s">
        <v>11</v>
      </c>
    </row>
    <row r="167" customFormat="false" ht="15" hidden="false" customHeight="false" outlineLevel="0" collapsed="false">
      <c r="A167" s="7" t="n">
        <v>166</v>
      </c>
      <c r="B167" s="8" t="n">
        <v>36</v>
      </c>
      <c r="C167" s="7" t="n">
        <v>1</v>
      </c>
      <c r="D167" s="7" t="s">
        <v>6</v>
      </c>
      <c r="E167" s="7" t="n">
        <v>1</v>
      </c>
      <c r="F167" s="9" t="s">
        <v>11</v>
      </c>
    </row>
    <row r="168" customFormat="false" ht="15" hidden="false" customHeight="false" outlineLevel="0" collapsed="false">
      <c r="A168" s="7" t="n">
        <v>167</v>
      </c>
      <c r="B168" s="8" t="n">
        <v>36</v>
      </c>
      <c r="C168" s="7" t="n">
        <v>1</v>
      </c>
      <c r="D168" s="7" t="s">
        <v>6</v>
      </c>
      <c r="E168" s="7" t="n">
        <v>1</v>
      </c>
      <c r="F168" s="9" t="s">
        <v>11</v>
      </c>
    </row>
    <row r="169" customFormat="false" ht="15" hidden="false" customHeight="false" outlineLevel="0" collapsed="false">
      <c r="A169" s="7" t="n">
        <v>168</v>
      </c>
      <c r="B169" s="8" t="n">
        <v>36</v>
      </c>
      <c r="C169" s="7" t="n">
        <v>0</v>
      </c>
      <c r="D169" s="7" t="s">
        <v>15</v>
      </c>
      <c r="E169" s="7" t="n">
        <v>1</v>
      </c>
      <c r="F169" s="9" t="s">
        <v>11</v>
      </c>
    </row>
    <row r="170" customFormat="false" ht="15" hidden="false" customHeight="false" outlineLevel="0" collapsed="false">
      <c r="A170" s="7" t="n">
        <v>169</v>
      </c>
      <c r="B170" s="8" t="n">
        <v>36</v>
      </c>
      <c r="C170" s="7" t="n">
        <v>0</v>
      </c>
      <c r="D170" s="7" t="s">
        <v>15</v>
      </c>
      <c r="E170" s="7" t="n">
        <v>3</v>
      </c>
      <c r="F170" s="9" t="s">
        <v>10</v>
      </c>
    </row>
    <row r="171" customFormat="false" ht="15" hidden="false" customHeight="false" outlineLevel="0" collapsed="false">
      <c r="A171" s="7" t="n">
        <v>170</v>
      </c>
      <c r="B171" s="8" t="n">
        <v>36</v>
      </c>
      <c r="C171" s="7" t="n">
        <v>0</v>
      </c>
      <c r="D171" s="7" t="s">
        <v>15</v>
      </c>
      <c r="E171" s="7" t="n">
        <v>2</v>
      </c>
      <c r="F171" s="9" t="s">
        <v>7</v>
      </c>
    </row>
    <row r="172" customFormat="false" ht="15" hidden="false" customHeight="false" outlineLevel="0" collapsed="false">
      <c r="A172" s="7" t="n">
        <v>171</v>
      </c>
      <c r="B172" s="8" t="n">
        <v>36</v>
      </c>
      <c r="C172" s="7" t="n">
        <v>1</v>
      </c>
      <c r="D172" s="7" t="s">
        <v>6</v>
      </c>
      <c r="E172" s="7" t="n">
        <v>2</v>
      </c>
      <c r="F172" s="9" t="s">
        <v>7</v>
      </c>
    </row>
    <row r="173" customFormat="false" ht="15" hidden="false" customHeight="false" outlineLevel="0" collapsed="false">
      <c r="A173" s="7" t="n">
        <v>172</v>
      </c>
      <c r="B173" s="8" t="n">
        <v>36</v>
      </c>
      <c r="C173" s="7" t="n">
        <v>1</v>
      </c>
      <c r="D173" s="7" t="s">
        <v>6</v>
      </c>
      <c r="E173" s="7" t="n">
        <v>2</v>
      </c>
      <c r="F173" s="9" t="s">
        <v>7</v>
      </c>
    </row>
    <row r="174" customFormat="false" ht="15" hidden="false" customHeight="false" outlineLevel="0" collapsed="false">
      <c r="A174" s="7" t="n">
        <v>173</v>
      </c>
      <c r="B174" s="8" t="n">
        <v>36</v>
      </c>
      <c r="C174" s="7" t="n">
        <v>0</v>
      </c>
      <c r="D174" s="7" t="s">
        <v>15</v>
      </c>
      <c r="E174" s="7" t="n">
        <v>2</v>
      </c>
      <c r="F174" s="9" t="s">
        <v>7</v>
      </c>
    </row>
    <row r="175" customFormat="false" ht="15" hidden="false" customHeight="false" outlineLevel="0" collapsed="false">
      <c r="A175" s="7" t="n">
        <v>174</v>
      </c>
      <c r="B175" s="8" t="n">
        <v>36</v>
      </c>
      <c r="C175" s="7" t="n">
        <v>1</v>
      </c>
      <c r="D175" s="7" t="s">
        <v>6</v>
      </c>
      <c r="E175" s="7" t="n">
        <v>3</v>
      </c>
      <c r="F175" s="9" t="s">
        <v>10</v>
      </c>
    </row>
    <row r="176" customFormat="false" ht="15" hidden="false" customHeight="false" outlineLevel="0" collapsed="false">
      <c r="A176" s="7" t="n">
        <v>175</v>
      </c>
      <c r="B176" s="8" t="n">
        <v>36</v>
      </c>
      <c r="C176" s="7" t="n">
        <v>0</v>
      </c>
      <c r="D176" s="7" t="s">
        <v>15</v>
      </c>
      <c r="E176" s="7" t="n">
        <v>2</v>
      </c>
      <c r="F176" s="9" t="s">
        <v>7</v>
      </c>
    </row>
    <row r="177" customFormat="false" ht="15" hidden="false" customHeight="false" outlineLevel="0" collapsed="false">
      <c r="A177" s="7" t="n">
        <v>176</v>
      </c>
      <c r="B177" s="8" t="n">
        <v>36</v>
      </c>
      <c r="C177" s="7" t="n">
        <v>0</v>
      </c>
      <c r="D177" s="7" t="s">
        <v>15</v>
      </c>
      <c r="E177" s="7" t="n">
        <v>1</v>
      </c>
      <c r="F177" s="9" t="s">
        <v>11</v>
      </c>
    </row>
    <row r="178" customFormat="false" ht="15" hidden="false" customHeight="false" outlineLevel="0" collapsed="false">
      <c r="A178" s="7" t="n">
        <v>177</v>
      </c>
      <c r="B178" s="8" t="n">
        <v>36</v>
      </c>
      <c r="C178" s="7" t="n">
        <v>1</v>
      </c>
      <c r="D178" s="7" t="s">
        <v>6</v>
      </c>
      <c r="E178" s="7" t="n">
        <v>1</v>
      </c>
      <c r="F178" s="9" t="s">
        <v>11</v>
      </c>
    </row>
    <row r="179" customFormat="false" ht="15" hidden="false" customHeight="false" outlineLevel="0" collapsed="false">
      <c r="A179" s="7" t="n">
        <v>178</v>
      </c>
      <c r="B179" s="8" t="n">
        <v>36</v>
      </c>
      <c r="C179" s="7" t="n">
        <v>1</v>
      </c>
      <c r="D179" s="7" t="s">
        <v>6</v>
      </c>
      <c r="E179" s="7" t="n">
        <v>3</v>
      </c>
      <c r="F179" s="9" t="s">
        <v>10</v>
      </c>
    </row>
    <row r="180" customFormat="false" ht="15" hidden="false" customHeight="false" outlineLevel="0" collapsed="false">
      <c r="A180" s="7" t="n">
        <v>179</v>
      </c>
      <c r="B180" s="8" t="n">
        <v>36</v>
      </c>
      <c r="C180" s="7" t="n">
        <v>1</v>
      </c>
      <c r="D180" s="7" t="s">
        <v>6</v>
      </c>
      <c r="E180" s="7" t="n">
        <v>3</v>
      </c>
      <c r="F180" s="9" t="s">
        <v>10</v>
      </c>
    </row>
    <row r="181" customFormat="false" ht="15" hidden="false" customHeight="false" outlineLevel="0" collapsed="false">
      <c r="A181" s="7" t="n">
        <v>180</v>
      </c>
      <c r="B181" s="8" t="n">
        <v>36</v>
      </c>
      <c r="C181" s="7" t="n">
        <v>1</v>
      </c>
      <c r="D181" s="7" t="s">
        <v>6</v>
      </c>
      <c r="E181" s="7" t="n">
        <v>3</v>
      </c>
      <c r="F181" s="9" t="s">
        <v>10</v>
      </c>
    </row>
    <row r="182" customFormat="false" ht="15" hidden="false" customHeight="false" outlineLevel="0" collapsed="false">
      <c r="A182" s="7" t="n">
        <v>181</v>
      </c>
      <c r="B182" s="8" t="n">
        <v>36</v>
      </c>
      <c r="C182" s="7" t="n">
        <v>0</v>
      </c>
      <c r="D182" s="7" t="s">
        <v>15</v>
      </c>
      <c r="E182" s="7" t="n">
        <v>1</v>
      </c>
      <c r="F182" s="9" t="s">
        <v>11</v>
      </c>
    </row>
    <row r="183" customFormat="false" ht="15" hidden="false" customHeight="false" outlineLevel="0" collapsed="false">
      <c r="A183" s="7" t="n">
        <v>182</v>
      </c>
      <c r="B183" s="8" t="n">
        <v>37</v>
      </c>
      <c r="C183" s="7" t="n">
        <v>1</v>
      </c>
      <c r="D183" s="7" t="s">
        <v>6</v>
      </c>
      <c r="E183" s="7" t="n">
        <v>1</v>
      </c>
      <c r="F183" s="9" t="s">
        <v>11</v>
      </c>
    </row>
    <row r="184" customFormat="false" ht="15" hidden="false" customHeight="false" outlineLevel="0" collapsed="false">
      <c r="A184" s="7" t="n">
        <v>183</v>
      </c>
      <c r="B184" s="8" t="n">
        <v>37</v>
      </c>
      <c r="C184" s="7" t="n">
        <v>0</v>
      </c>
      <c r="D184" s="7" t="s">
        <v>15</v>
      </c>
      <c r="E184" s="7" t="n">
        <v>1</v>
      </c>
      <c r="F184" s="9" t="s">
        <v>11</v>
      </c>
    </row>
    <row r="185" customFormat="false" ht="15" hidden="false" customHeight="false" outlineLevel="0" collapsed="false">
      <c r="A185" s="7" t="n">
        <v>184</v>
      </c>
      <c r="B185" s="8" t="n">
        <v>37</v>
      </c>
      <c r="C185" s="7" t="n">
        <v>0</v>
      </c>
      <c r="D185" s="7" t="s">
        <v>15</v>
      </c>
      <c r="E185" s="7" t="n">
        <v>2</v>
      </c>
      <c r="F185" s="9" t="s">
        <v>7</v>
      </c>
    </row>
    <row r="186" customFormat="false" ht="15" hidden="false" customHeight="false" outlineLevel="0" collapsed="false">
      <c r="A186" s="7" t="n">
        <v>185</v>
      </c>
      <c r="B186" s="8" t="n">
        <v>37</v>
      </c>
      <c r="C186" s="7" t="n">
        <v>0</v>
      </c>
      <c r="D186" s="7" t="s">
        <v>15</v>
      </c>
      <c r="E186" s="7" t="n">
        <v>3</v>
      </c>
      <c r="F186" s="9" t="s">
        <v>10</v>
      </c>
    </row>
    <row r="187" customFormat="false" ht="15" hidden="false" customHeight="false" outlineLevel="0" collapsed="false">
      <c r="A187" s="7" t="n">
        <v>186</v>
      </c>
      <c r="B187" s="8" t="n">
        <v>37</v>
      </c>
      <c r="C187" s="7" t="n">
        <v>0</v>
      </c>
      <c r="D187" s="7" t="s">
        <v>15</v>
      </c>
      <c r="E187" s="7" t="n">
        <v>1</v>
      </c>
      <c r="F187" s="9" t="s">
        <v>11</v>
      </c>
    </row>
    <row r="188" customFormat="false" ht="15" hidden="false" customHeight="false" outlineLevel="0" collapsed="false">
      <c r="A188" s="7" t="n">
        <v>187</v>
      </c>
      <c r="B188" s="8" t="n">
        <v>37</v>
      </c>
      <c r="C188" s="7" t="n">
        <v>1</v>
      </c>
      <c r="D188" s="7" t="s">
        <v>6</v>
      </c>
      <c r="E188" s="7" t="n">
        <v>2</v>
      </c>
      <c r="F188" s="9" t="s">
        <v>7</v>
      </c>
    </row>
    <row r="189" customFormat="false" ht="15" hidden="false" customHeight="false" outlineLevel="0" collapsed="false">
      <c r="A189" s="7" t="n">
        <v>188</v>
      </c>
      <c r="B189" s="8" t="n">
        <v>37</v>
      </c>
      <c r="C189" s="7" t="n">
        <v>1</v>
      </c>
      <c r="D189" s="7" t="s">
        <v>6</v>
      </c>
      <c r="E189" s="7" t="n">
        <v>1</v>
      </c>
      <c r="F189" s="9" t="s">
        <v>11</v>
      </c>
    </row>
    <row r="190" customFormat="false" ht="15" hidden="false" customHeight="false" outlineLevel="0" collapsed="false">
      <c r="A190" s="7" t="n">
        <v>189</v>
      </c>
      <c r="B190" s="8" t="n">
        <v>37</v>
      </c>
      <c r="C190" s="7" t="n">
        <v>1</v>
      </c>
      <c r="D190" s="7" t="s">
        <v>6</v>
      </c>
      <c r="E190" s="7" t="n">
        <v>3</v>
      </c>
      <c r="F190" s="9" t="s">
        <v>10</v>
      </c>
    </row>
    <row r="191" customFormat="false" ht="15" hidden="false" customHeight="false" outlineLevel="0" collapsed="false">
      <c r="A191" s="7" t="n">
        <v>190</v>
      </c>
      <c r="B191" s="8" t="n">
        <v>37</v>
      </c>
      <c r="C191" s="7" t="n">
        <v>0</v>
      </c>
      <c r="D191" s="7" t="s">
        <v>15</v>
      </c>
      <c r="E191" s="7" t="n">
        <v>1</v>
      </c>
      <c r="F191" s="9" t="s">
        <v>11</v>
      </c>
    </row>
    <row r="192" customFormat="false" ht="15" hidden="false" customHeight="false" outlineLevel="0" collapsed="false">
      <c r="A192" s="7" t="n">
        <v>191</v>
      </c>
      <c r="B192" s="8" t="n">
        <v>37</v>
      </c>
      <c r="C192" s="7" t="n">
        <v>0</v>
      </c>
      <c r="D192" s="7" t="s">
        <v>15</v>
      </c>
      <c r="E192" s="7" t="n">
        <v>1</v>
      </c>
      <c r="F192" s="9" t="s">
        <v>11</v>
      </c>
    </row>
    <row r="193" customFormat="false" ht="15" hidden="false" customHeight="false" outlineLevel="0" collapsed="false">
      <c r="A193" s="7" t="n">
        <v>192</v>
      </c>
      <c r="B193" s="8" t="n">
        <v>37</v>
      </c>
      <c r="C193" s="7" t="n">
        <v>0</v>
      </c>
      <c r="D193" s="7" t="s">
        <v>15</v>
      </c>
      <c r="E193" s="7" t="n">
        <v>3</v>
      </c>
      <c r="F193" s="9" t="s">
        <v>10</v>
      </c>
    </row>
    <row r="194" customFormat="false" ht="15" hidden="false" customHeight="false" outlineLevel="0" collapsed="false">
      <c r="A194" s="7" t="n">
        <v>193</v>
      </c>
      <c r="B194" s="8" t="n">
        <v>37</v>
      </c>
      <c r="C194" s="7" t="n">
        <v>0</v>
      </c>
      <c r="D194" s="7" t="s">
        <v>15</v>
      </c>
      <c r="E194" s="7" t="n">
        <v>2</v>
      </c>
      <c r="F194" s="9" t="s">
        <v>7</v>
      </c>
    </row>
    <row r="195" customFormat="false" ht="15" hidden="false" customHeight="false" outlineLevel="0" collapsed="false">
      <c r="A195" s="7" t="n">
        <v>194</v>
      </c>
      <c r="B195" s="8" t="n">
        <v>37</v>
      </c>
      <c r="C195" s="7" t="n">
        <v>1</v>
      </c>
      <c r="D195" s="7" t="s">
        <v>6</v>
      </c>
      <c r="E195" s="7" t="n">
        <v>1</v>
      </c>
      <c r="F195" s="9" t="s">
        <v>11</v>
      </c>
    </row>
    <row r="196" customFormat="false" ht="15" hidden="false" customHeight="false" outlineLevel="0" collapsed="false">
      <c r="A196" s="7" t="n">
        <v>195</v>
      </c>
      <c r="B196" s="8" t="n">
        <v>37</v>
      </c>
      <c r="C196" s="7" t="n">
        <v>0</v>
      </c>
      <c r="D196" s="7" t="s">
        <v>15</v>
      </c>
      <c r="E196" s="7" t="n">
        <v>3</v>
      </c>
      <c r="F196" s="9" t="s">
        <v>10</v>
      </c>
    </row>
    <row r="197" customFormat="false" ht="15" hidden="false" customHeight="false" outlineLevel="0" collapsed="false">
      <c r="A197" s="7" t="n">
        <v>196</v>
      </c>
      <c r="B197" s="8" t="n">
        <v>37</v>
      </c>
      <c r="C197" s="7" t="n">
        <v>1</v>
      </c>
      <c r="D197" s="7" t="s">
        <v>6</v>
      </c>
      <c r="E197" s="7" t="n">
        <v>2</v>
      </c>
      <c r="F197" s="9" t="s">
        <v>7</v>
      </c>
    </row>
    <row r="198" customFormat="false" ht="15" hidden="false" customHeight="false" outlineLevel="0" collapsed="false">
      <c r="A198" s="7" t="n">
        <v>197</v>
      </c>
      <c r="B198" s="8" t="n">
        <v>37</v>
      </c>
      <c r="C198" s="7" t="n">
        <v>1</v>
      </c>
      <c r="D198" s="7" t="s">
        <v>6</v>
      </c>
      <c r="E198" s="7" t="n">
        <v>3</v>
      </c>
      <c r="F198" s="9" t="s">
        <v>10</v>
      </c>
    </row>
    <row r="199" customFormat="false" ht="15" hidden="false" customHeight="false" outlineLevel="0" collapsed="false">
      <c r="A199" s="7" t="n">
        <v>198</v>
      </c>
      <c r="B199" s="8" t="n">
        <v>37</v>
      </c>
      <c r="C199" s="7" t="n">
        <v>0</v>
      </c>
      <c r="D199" s="7" t="s">
        <v>15</v>
      </c>
      <c r="E199" s="7" t="n">
        <v>1</v>
      </c>
      <c r="F199" s="9" t="s">
        <v>11</v>
      </c>
    </row>
    <row r="200" customFormat="false" ht="15" hidden="false" customHeight="false" outlineLevel="0" collapsed="false">
      <c r="A200" s="7" t="n">
        <v>199</v>
      </c>
      <c r="B200" s="8" t="n">
        <v>37</v>
      </c>
      <c r="C200" s="7" t="n">
        <v>0</v>
      </c>
      <c r="D200" s="7" t="s">
        <v>15</v>
      </c>
      <c r="E200" s="7" t="n">
        <v>1</v>
      </c>
      <c r="F200" s="9" t="s">
        <v>11</v>
      </c>
    </row>
    <row r="201" customFormat="false" ht="15" hidden="false" customHeight="false" outlineLevel="0" collapsed="false">
      <c r="A201" s="7" t="n">
        <v>200</v>
      </c>
      <c r="B201" s="8" t="n">
        <v>37</v>
      </c>
      <c r="C201" s="7" t="n">
        <v>1</v>
      </c>
      <c r="D201" s="7" t="s">
        <v>6</v>
      </c>
      <c r="E201" s="7" t="n">
        <v>1</v>
      </c>
      <c r="F201" s="9" t="s">
        <v>11</v>
      </c>
    </row>
    <row r="202" customFormat="false" ht="15" hidden="false" customHeight="false" outlineLevel="0" collapsed="false">
      <c r="A202" s="7" t="n">
        <v>201</v>
      </c>
      <c r="B202" s="8" t="n">
        <v>37</v>
      </c>
      <c r="C202" s="7" t="n">
        <v>0</v>
      </c>
      <c r="D202" s="7" t="s">
        <v>15</v>
      </c>
      <c r="E202" s="7" t="n">
        <v>1</v>
      </c>
      <c r="F202" s="9" t="s">
        <v>11</v>
      </c>
    </row>
    <row r="203" customFormat="false" ht="15" hidden="false" customHeight="false" outlineLevel="0" collapsed="false">
      <c r="A203" s="7" t="n">
        <v>202</v>
      </c>
      <c r="B203" s="8" t="n">
        <v>37</v>
      </c>
      <c r="C203" s="7" t="n">
        <v>1</v>
      </c>
      <c r="D203" s="7" t="s">
        <v>6</v>
      </c>
      <c r="E203" s="7" t="n">
        <v>3</v>
      </c>
      <c r="F203" s="9" t="s">
        <v>10</v>
      </c>
    </row>
    <row r="204" customFormat="false" ht="15" hidden="false" customHeight="false" outlineLevel="0" collapsed="false">
      <c r="A204" s="7" t="n">
        <v>203</v>
      </c>
      <c r="B204" s="8" t="n">
        <v>38</v>
      </c>
      <c r="C204" s="7" t="n">
        <v>1</v>
      </c>
      <c r="D204" s="7" t="s">
        <v>6</v>
      </c>
      <c r="E204" s="7" t="n">
        <v>2</v>
      </c>
      <c r="F204" s="9" t="s">
        <v>7</v>
      </c>
    </row>
    <row r="205" customFormat="false" ht="15" hidden="false" customHeight="false" outlineLevel="0" collapsed="false">
      <c r="A205" s="7" t="n">
        <v>204</v>
      </c>
      <c r="B205" s="8" t="n">
        <v>38</v>
      </c>
      <c r="C205" s="7" t="n">
        <v>0</v>
      </c>
      <c r="D205" s="7" t="s">
        <v>15</v>
      </c>
      <c r="E205" s="7" t="n">
        <v>2</v>
      </c>
      <c r="F205" s="9" t="s">
        <v>7</v>
      </c>
    </row>
    <row r="206" customFormat="false" ht="15" hidden="false" customHeight="false" outlineLevel="0" collapsed="false">
      <c r="A206" s="7" t="n">
        <v>205</v>
      </c>
      <c r="B206" s="8" t="n">
        <v>38</v>
      </c>
      <c r="C206" s="7" t="n">
        <v>0</v>
      </c>
      <c r="D206" s="7" t="s">
        <v>15</v>
      </c>
      <c r="E206" s="7" t="n">
        <v>1</v>
      </c>
      <c r="F206" s="9" t="s">
        <v>11</v>
      </c>
    </row>
    <row r="207" customFormat="false" ht="15" hidden="false" customHeight="false" outlineLevel="0" collapsed="false">
      <c r="A207" s="7" t="n">
        <v>206</v>
      </c>
      <c r="B207" s="8" t="n">
        <v>38</v>
      </c>
      <c r="C207" s="7" t="n">
        <v>0</v>
      </c>
      <c r="D207" s="7" t="s">
        <v>15</v>
      </c>
      <c r="E207" s="7" t="n">
        <v>1</v>
      </c>
      <c r="F207" s="9" t="s">
        <v>11</v>
      </c>
    </row>
    <row r="208" customFormat="false" ht="15" hidden="false" customHeight="false" outlineLevel="0" collapsed="false">
      <c r="A208" s="7" t="n">
        <v>207</v>
      </c>
      <c r="B208" s="8" t="n">
        <v>38</v>
      </c>
      <c r="C208" s="7" t="n">
        <v>0</v>
      </c>
      <c r="D208" s="7" t="s">
        <v>15</v>
      </c>
      <c r="E208" s="7" t="n">
        <v>2</v>
      </c>
      <c r="F208" s="9" t="s">
        <v>7</v>
      </c>
    </row>
    <row r="209" customFormat="false" ht="15" hidden="false" customHeight="false" outlineLevel="0" collapsed="false">
      <c r="A209" s="7" t="n">
        <v>208</v>
      </c>
      <c r="B209" s="8" t="n">
        <v>38</v>
      </c>
      <c r="C209" s="7" t="n">
        <v>0</v>
      </c>
      <c r="D209" s="7" t="s">
        <v>15</v>
      </c>
      <c r="E209" s="7" t="n">
        <v>3</v>
      </c>
      <c r="F209" s="9" t="s">
        <v>10</v>
      </c>
    </row>
    <row r="210" customFormat="false" ht="15" hidden="false" customHeight="false" outlineLevel="0" collapsed="false">
      <c r="A210" s="7" t="n">
        <v>209</v>
      </c>
      <c r="B210" s="8" t="n">
        <v>38</v>
      </c>
      <c r="C210" s="7" t="n">
        <v>0</v>
      </c>
      <c r="D210" s="7" t="s">
        <v>15</v>
      </c>
      <c r="E210" s="7" t="n">
        <v>1</v>
      </c>
      <c r="F210" s="9" t="s">
        <v>11</v>
      </c>
    </row>
    <row r="211" customFormat="false" ht="15" hidden="false" customHeight="false" outlineLevel="0" collapsed="false">
      <c r="A211" s="7" t="n">
        <v>210</v>
      </c>
      <c r="B211" s="8" t="n">
        <v>38</v>
      </c>
      <c r="C211" s="7" t="n">
        <v>0</v>
      </c>
      <c r="D211" s="7" t="s">
        <v>15</v>
      </c>
      <c r="E211" s="7" t="n">
        <v>1</v>
      </c>
      <c r="F211" s="9" t="s">
        <v>11</v>
      </c>
    </row>
    <row r="212" customFormat="false" ht="15" hidden="false" customHeight="false" outlineLevel="0" collapsed="false">
      <c r="A212" s="7" t="n">
        <v>211</v>
      </c>
      <c r="B212" s="8" t="n">
        <v>38</v>
      </c>
      <c r="C212" s="7" t="n">
        <v>0</v>
      </c>
      <c r="D212" s="7" t="s">
        <v>15</v>
      </c>
      <c r="E212" s="7" t="n">
        <v>2</v>
      </c>
      <c r="F212" s="9" t="s">
        <v>7</v>
      </c>
    </row>
    <row r="213" customFormat="false" ht="15" hidden="false" customHeight="false" outlineLevel="0" collapsed="false">
      <c r="A213" s="7" t="n">
        <v>212</v>
      </c>
      <c r="B213" s="8" t="n">
        <v>38</v>
      </c>
      <c r="C213" s="7" t="n">
        <v>0</v>
      </c>
      <c r="D213" s="7" t="s">
        <v>15</v>
      </c>
      <c r="E213" s="7" t="n">
        <v>1</v>
      </c>
      <c r="F213" s="9" t="s">
        <v>11</v>
      </c>
    </row>
    <row r="214" customFormat="false" ht="15" hidden="false" customHeight="false" outlineLevel="0" collapsed="false">
      <c r="A214" s="7" t="n">
        <v>213</v>
      </c>
      <c r="B214" s="8" t="n">
        <v>38</v>
      </c>
      <c r="C214" s="7" t="n">
        <v>1</v>
      </c>
      <c r="D214" s="7" t="s">
        <v>6</v>
      </c>
      <c r="E214" s="7" t="n">
        <v>3</v>
      </c>
      <c r="F214" s="9" t="s">
        <v>10</v>
      </c>
    </row>
    <row r="215" customFormat="false" ht="15" hidden="false" customHeight="false" outlineLevel="0" collapsed="false">
      <c r="A215" s="7" t="n">
        <v>214</v>
      </c>
      <c r="B215" s="8" t="n">
        <v>38</v>
      </c>
      <c r="C215" s="7" t="n">
        <v>1</v>
      </c>
      <c r="D215" s="7" t="s">
        <v>6</v>
      </c>
      <c r="E215" s="7" t="n">
        <v>3</v>
      </c>
      <c r="F215" s="9" t="s">
        <v>10</v>
      </c>
    </row>
    <row r="216" customFormat="false" ht="15" hidden="false" customHeight="false" outlineLevel="0" collapsed="false">
      <c r="A216" s="7" t="n">
        <v>215</v>
      </c>
      <c r="B216" s="8" t="n">
        <v>38</v>
      </c>
      <c r="C216" s="7" t="n">
        <v>0</v>
      </c>
      <c r="D216" s="7" t="s">
        <v>15</v>
      </c>
      <c r="E216" s="7" t="n">
        <v>3</v>
      </c>
      <c r="F216" s="9" t="s">
        <v>10</v>
      </c>
    </row>
    <row r="217" customFormat="false" ht="15" hidden="false" customHeight="false" outlineLevel="0" collapsed="false">
      <c r="A217" s="7" t="n">
        <v>216</v>
      </c>
      <c r="B217" s="8" t="n">
        <v>38</v>
      </c>
      <c r="C217" s="7" t="n">
        <v>1</v>
      </c>
      <c r="D217" s="7" t="s">
        <v>6</v>
      </c>
      <c r="E217" s="7" t="n">
        <v>2</v>
      </c>
      <c r="F217" s="9" t="s">
        <v>7</v>
      </c>
    </row>
    <row r="218" customFormat="false" ht="15" hidden="false" customHeight="false" outlineLevel="0" collapsed="false">
      <c r="A218" s="7" t="n">
        <v>217</v>
      </c>
      <c r="B218" s="8" t="n">
        <v>38</v>
      </c>
      <c r="C218" s="7" t="n">
        <v>0</v>
      </c>
      <c r="D218" s="7" t="s">
        <v>15</v>
      </c>
      <c r="E218" s="7" t="n">
        <v>1</v>
      </c>
      <c r="F218" s="9" t="s">
        <v>11</v>
      </c>
    </row>
    <row r="219" customFormat="false" ht="15" hidden="false" customHeight="false" outlineLevel="0" collapsed="false">
      <c r="A219" s="7" t="n">
        <v>218</v>
      </c>
      <c r="B219" s="8" t="n">
        <v>38</v>
      </c>
      <c r="C219" s="7" t="n">
        <v>0</v>
      </c>
      <c r="D219" s="7" t="s">
        <v>15</v>
      </c>
      <c r="E219" s="7" t="n">
        <v>1</v>
      </c>
      <c r="F219" s="9" t="s">
        <v>11</v>
      </c>
    </row>
    <row r="220" customFormat="false" ht="15" hidden="false" customHeight="false" outlineLevel="0" collapsed="false">
      <c r="A220" s="7" t="n">
        <v>219</v>
      </c>
      <c r="B220" s="8" t="n">
        <v>38</v>
      </c>
      <c r="C220" s="7" t="n">
        <v>0</v>
      </c>
      <c r="D220" s="7" t="s">
        <v>15</v>
      </c>
      <c r="E220" s="7" t="n">
        <v>1</v>
      </c>
      <c r="F220" s="9" t="s">
        <v>11</v>
      </c>
    </row>
    <row r="221" customFormat="false" ht="15" hidden="false" customHeight="false" outlineLevel="0" collapsed="false">
      <c r="A221" s="7" t="n">
        <v>220</v>
      </c>
      <c r="B221" s="8" t="n">
        <v>38</v>
      </c>
      <c r="C221" s="7" t="n">
        <v>0</v>
      </c>
      <c r="D221" s="7" t="s">
        <v>15</v>
      </c>
      <c r="E221" s="7" t="n">
        <v>3</v>
      </c>
      <c r="F221" s="9" t="s">
        <v>10</v>
      </c>
    </row>
    <row r="222" customFormat="false" ht="15" hidden="false" customHeight="false" outlineLevel="0" collapsed="false">
      <c r="A222" s="7" t="n">
        <v>221</v>
      </c>
      <c r="B222" s="8" t="n">
        <v>38</v>
      </c>
      <c r="C222" s="7" t="n">
        <v>1</v>
      </c>
      <c r="D222" s="7" t="s">
        <v>6</v>
      </c>
      <c r="E222" s="7" t="n">
        <v>2</v>
      </c>
      <c r="F222" s="9" t="s">
        <v>7</v>
      </c>
    </row>
    <row r="223" customFormat="false" ht="15" hidden="false" customHeight="false" outlineLevel="0" collapsed="false">
      <c r="A223" s="7" t="n">
        <v>222</v>
      </c>
      <c r="B223" s="8" t="n">
        <v>38</v>
      </c>
      <c r="C223" s="7" t="n">
        <v>0</v>
      </c>
      <c r="D223" s="7" t="s">
        <v>15</v>
      </c>
      <c r="E223" s="7" t="n">
        <v>2</v>
      </c>
      <c r="F223" s="9" t="s">
        <v>7</v>
      </c>
    </row>
    <row r="224" customFormat="false" ht="15" hidden="false" customHeight="false" outlineLevel="0" collapsed="false">
      <c r="A224" s="7" t="n">
        <v>223</v>
      </c>
      <c r="B224" s="8" t="n">
        <v>38</v>
      </c>
      <c r="C224" s="7" t="n">
        <v>0</v>
      </c>
      <c r="D224" s="7" t="s">
        <v>15</v>
      </c>
      <c r="E224" s="7" t="n">
        <v>2</v>
      </c>
      <c r="F224" s="9" t="s">
        <v>7</v>
      </c>
    </row>
    <row r="225" customFormat="false" ht="15" hidden="false" customHeight="false" outlineLevel="0" collapsed="false">
      <c r="A225" s="7" t="n">
        <v>224</v>
      </c>
      <c r="B225" s="8" t="n">
        <v>38</v>
      </c>
      <c r="C225" s="7" t="n">
        <v>0</v>
      </c>
      <c r="D225" s="7" t="s">
        <v>15</v>
      </c>
      <c r="E225" s="7" t="n">
        <v>2</v>
      </c>
      <c r="F225" s="9" t="s">
        <v>7</v>
      </c>
    </row>
    <row r="226" customFormat="false" ht="15" hidden="false" customHeight="false" outlineLevel="0" collapsed="false">
      <c r="A226" s="7" t="n">
        <v>225</v>
      </c>
      <c r="B226" s="8" t="n">
        <v>38</v>
      </c>
      <c r="C226" s="7" t="n">
        <v>1</v>
      </c>
      <c r="D226" s="7" t="s">
        <v>6</v>
      </c>
      <c r="E226" s="7" t="n">
        <v>1</v>
      </c>
      <c r="F226" s="9" t="s">
        <v>11</v>
      </c>
    </row>
    <row r="227" customFormat="false" ht="15" hidden="false" customHeight="false" outlineLevel="0" collapsed="false">
      <c r="A227" s="7" t="n">
        <v>226</v>
      </c>
      <c r="B227" s="8" t="n">
        <v>38</v>
      </c>
      <c r="C227" s="7" t="n">
        <v>1</v>
      </c>
      <c r="D227" s="7" t="s">
        <v>6</v>
      </c>
      <c r="E227" s="7" t="n">
        <v>2</v>
      </c>
      <c r="F227" s="9" t="s">
        <v>7</v>
      </c>
    </row>
    <row r="228" customFormat="false" ht="15" hidden="false" customHeight="false" outlineLevel="0" collapsed="false">
      <c r="A228" s="7" t="n">
        <v>227</v>
      </c>
      <c r="B228" s="8" t="n">
        <v>38</v>
      </c>
      <c r="C228" s="7" t="n">
        <v>1</v>
      </c>
      <c r="D228" s="7" t="s">
        <v>6</v>
      </c>
      <c r="E228" s="7" t="n">
        <v>1</v>
      </c>
      <c r="F228" s="9" t="s">
        <v>11</v>
      </c>
    </row>
    <row r="229" customFormat="false" ht="15" hidden="false" customHeight="false" outlineLevel="0" collapsed="false">
      <c r="A229" s="7" t="n">
        <v>228</v>
      </c>
      <c r="B229" s="8" t="n">
        <v>39</v>
      </c>
      <c r="C229" s="7" t="n">
        <v>1</v>
      </c>
      <c r="D229" s="7" t="s">
        <v>6</v>
      </c>
      <c r="E229" s="7" t="n">
        <v>2</v>
      </c>
      <c r="F229" s="9" t="s">
        <v>7</v>
      </c>
    </row>
    <row r="230" customFormat="false" ht="15" hidden="false" customHeight="false" outlineLevel="0" collapsed="false">
      <c r="A230" s="7" t="n">
        <v>229</v>
      </c>
      <c r="B230" s="8" t="n">
        <v>39</v>
      </c>
      <c r="C230" s="7" t="n">
        <v>1</v>
      </c>
      <c r="D230" s="7" t="s">
        <v>6</v>
      </c>
      <c r="E230" s="7" t="n">
        <v>3</v>
      </c>
      <c r="F230" s="9" t="s">
        <v>10</v>
      </c>
    </row>
    <row r="231" customFormat="false" ht="15" hidden="false" customHeight="false" outlineLevel="0" collapsed="false">
      <c r="A231" s="7" t="n">
        <v>230</v>
      </c>
      <c r="B231" s="8" t="n">
        <v>39</v>
      </c>
      <c r="C231" s="7" t="n">
        <v>1</v>
      </c>
      <c r="D231" s="7" t="s">
        <v>6</v>
      </c>
      <c r="E231" s="7" t="n">
        <v>1</v>
      </c>
      <c r="F231" s="9" t="s">
        <v>11</v>
      </c>
    </row>
    <row r="232" customFormat="false" ht="15" hidden="false" customHeight="false" outlineLevel="0" collapsed="false">
      <c r="A232" s="7" t="n">
        <v>231</v>
      </c>
      <c r="B232" s="8" t="n">
        <v>39</v>
      </c>
      <c r="C232" s="7" t="n">
        <v>1</v>
      </c>
      <c r="D232" s="7" t="s">
        <v>6</v>
      </c>
      <c r="E232" s="7" t="n">
        <v>1</v>
      </c>
      <c r="F232" s="9" t="s">
        <v>11</v>
      </c>
    </row>
    <row r="233" customFormat="false" ht="15" hidden="false" customHeight="false" outlineLevel="0" collapsed="false">
      <c r="A233" s="7" t="n">
        <v>232</v>
      </c>
      <c r="B233" s="8" t="n">
        <v>39</v>
      </c>
      <c r="C233" s="7" t="n">
        <v>1</v>
      </c>
      <c r="D233" s="7" t="s">
        <v>6</v>
      </c>
      <c r="E233" s="7" t="n">
        <v>1</v>
      </c>
      <c r="F233" s="9" t="s">
        <v>11</v>
      </c>
    </row>
    <row r="234" customFormat="false" ht="15" hidden="false" customHeight="false" outlineLevel="0" collapsed="false">
      <c r="A234" s="7" t="n">
        <v>233</v>
      </c>
      <c r="B234" s="8" t="n">
        <v>39</v>
      </c>
      <c r="C234" s="7" t="n">
        <v>0</v>
      </c>
      <c r="D234" s="7" t="s">
        <v>15</v>
      </c>
      <c r="E234" s="7" t="n">
        <v>3</v>
      </c>
      <c r="F234" s="9" t="s">
        <v>10</v>
      </c>
    </row>
    <row r="235" customFormat="false" ht="15" hidden="false" customHeight="false" outlineLevel="0" collapsed="false">
      <c r="A235" s="7" t="n">
        <v>234</v>
      </c>
      <c r="B235" s="8" t="n">
        <v>39</v>
      </c>
      <c r="C235" s="7" t="n">
        <v>0</v>
      </c>
      <c r="D235" s="7" t="s">
        <v>15</v>
      </c>
      <c r="E235" s="7" t="n">
        <v>3</v>
      </c>
      <c r="F235" s="9" t="s">
        <v>10</v>
      </c>
    </row>
    <row r="236" customFormat="false" ht="15" hidden="false" customHeight="false" outlineLevel="0" collapsed="false">
      <c r="A236" s="7" t="n">
        <v>235</v>
      </c>
      <c r="B236" s="8" t="n">
        <v>39</v>
      </c>
      <c r="C236" s="7" t="n">
        <v>1</v>
      </c>
      <c r="D236" s="7" t="s">
        <v>6</v>
      </c>
      <c r="E236" s="7" t="n">
        <v>2</v>
      </c>
      <c r="F236" s="9" t="s">
        <v>7</v>
      </c>
    </row>
    <row r="237" customFormat="false" ht="15" hidden="false" customHeight="false" outlineLevel="0" collapsed="false">
      <c r="A237" s="7" t="n">
        <v>236</v>
      </c>
      <c r="B237" s="8" t="n">
        <v>39</v>
      </c>
      <c r="C237" s="7" t="n">
        <v>0</v>
      </c>
      <c r="D237" s="7" t="s">
        <v>15</v>
      </c>
      <c r="E237" s="7" t="n">
        <v>2</v>
      </c>
      <c r="F237" s="9" t="s">
        <v>7</v>
      </c>
    </row>
    <row r="238" customFormat="false" ht="15" hidden="false" customHeight="false" outlineLevel="0" collapsed="false">
      <c r="A238" s="7" t="n">
        <v>237</v>
      </c>
      <c r="B238" s="8" t="n">
        <v>39</v>
      </c>
      <c r="C238" s="7" t="n">
        <v>0</v>
      </c>
      <c r="D238" s="7" t="s">
        <v>15</v>
      </c>
      <c r="E238" s="7" t="n">
        <v>2</v>
      </c>
      <c r="F238" s="9" t="s">
        <v>7</v>
      </c>
    </row>
    <row r="239" customFormat="false" ht="15" hidden="false" customHeight="false" outlineLevel="0" collapsed="false">
      <c r="A239" s="7" t="n">
        <v>238</v>
      </c>
      <c r="B239" s="8" t="n">
        <v>39</v>
      </c>
      <c r="C239" s="7" t="n">
        <v>0</v>
      </c>
      <c r="D239" s="7" t="s">
        <v>15</v>
      </c>
      <c r="E239" s="7" t="n">
        <v>3</v>
      </c>
      <c r="F239" s="9" t="s">
        <v>10</v>
      </c>
    </row>
    <row r="240" customFormat="false" ht="15" hidden="false" customHeight="false" outlineLevel="0" collapsed="false">
      <c r="A240" s="7" t="n">
        <v>239</v>
      </c>
      <c r="B240" s="8" t="n">
        <v>39</v>
      </c>
      <c r="C240" s="7" t="n">
        <v>1</v>
      </c>
      <c r="D240" s="7" t="s">
        <v>6</v>
      </c>
      <c r="E240" s="7" t="n">
        <v>3</v>
      </c>
      <c r="F240" s="9" t="s">
        <v>10</v>
      </c>
    </row>
    <row r="241" customFormat="false" ht="15" hidden="false" customHeight="false" outlineLevel="0" collapsed="false">
      <c r="A241" s="7" t="n">
        <v>240</v>
      </c>
      <c r="B241" s="8" t="n">
        <v>39</v>
      </c>
      <c r="C241" s="7" t="n">
        <v>1</v>
      </c>
      <c r="D241" s="7" t="s">
        <v>6</v>
      </c>
      <c r="E241" s="7" t="n">
        <v>1</v>
      </c>
      <c r="F241" s="9" t="s">
        <v>11</v>
      </c>
    </row>
    <row r="242" customFormat="false" ht="15" hidden="false" customHeight="false" outlineLevel="0" collapsed="false">
      <c r="A242" s="7" t="n">
        <v>241</v>
      </c>
      <c r="B242" s="8" t="n">
        <v>39</v>
      </c>
      <c r="C242" s="7" t="n">
        <v>0</v>
      </c>
      <c r="D242" s="7" t="s">
        <v>15</v>
      </c>
      <c r="E242" s="7" t="n">
        <v>2</v>
      </c>
      <c r="F242" s="9" t="s">
        <v>7</v>
      </c>
    </row>
    <row r="243" customFormat="false" ht="15" hidden="false" customHeight="false" outlineLevel="0" collapsed="false">
      <c r="A243" s="7" t="n">
        <v>242</v>
      </c>
      <c r="B243" s="8" t="n">
        <v>39</v>
      </c>
      <c r="C243" s="7" t="n">
        <v>0</v>
      </c>
      <c r="D243" s="7" t="s">
        <v>15</v>
      </c>
      <c r="E243" s="7" t="n">
        <v>3</v>
      </c>
      <c r="F243" s="9" t="s">
        <v>10</v>
      </c>
    </row>
    <row r="244" customFormat="false" ht="15" hidden="false" customHeight="false" outlineLevel="0" collapsed="false">
      <c r="A244" s="7" t="n">
        <v>243</v>
      </c>
      <c r="B244" s="8" t="n">
        <v>39</v>
      </c>
      <c r="C244" s="7" t="n">
        <v>1</v>
      </c>
      <c r="D244" s="7" t="s">
        <v>6</v>
      </c>
      <c r="E244" s="7" t="n">
        <v>3</v>
      </c>
      <c r="F244" s="9" t="s">
        <v>10</v>
      </c>
    </row>
    <row r="245" customFormat="false" ht="15" hidden="false" customHeight="false" outlineLevel="0" collapsed="false">
      <c r="A245" s="7" t="n">
        <v>244</v>
      </c>
      <c r="B245" s="8" t="n">
        <v>39</v>
      </c>
      <c r="C245" s="7" t="n">
        <v>1</v>
      </c>
      <c r="D245" s="7" t="s">
        <v>6</v>
      </c>
      <c r="E245" s="7" t="n">
        <v>2</v>
      </c>
      <c r="F245" s="9" t="s">
        <v>7</v>
      </c>
    </row>
    <row r="246" customFormat="false" ht="15" hidden="false" customHeight="false" outlineLevel="0" collapsed="false">
      <c r="A246" s="7" t="n">
        <v>245</v>
      </c>
      <c r="B246" s="8" t="n">
        <v>39</v>
      </c>
      <c r="C246" s="7" t="n">
        <v>0</v>
      </c>
      <c r="D246" s="7" t="s">
        <v>15</v>
      </c>
      <c r="E246" s="7" t="n">
        <v>1</v>
      </c>
      <c r="F246" s="9" t="s">
        <v>11</v>
      </c>
    </row>
    <row r="247" customFormat="false" ht="15" hidden="false" customHeight="false" outlineLevel="0" collapsed="false">
      <c r="A247" s="7" t="n">
        <v>246</v>
      </c>
      <c r="B247" s="8" t="n">
        <v>39</v>
      </c>
      <c r="C247" s="7" t="n">
        <v>0</v>
      </c>
      <c r="D247" s="7" t="s">
        <v>15</v>
      </c>
      <c r="E247" s="7" t="n">
        <v>3</v>
      </c>
      <c r="F247" s="9" t="s">
        <v>10</v>
      </c>
    </row>
    <row r="248" customFormat="false" ht="15" hidden="false" customHeight="false" outlineLevel="0" collapsed="false">
      <c r="A248" s="7" t="n">
        <v>247</v>
      </c>
      <c r="B248" s="8" t="n">
        <v>39</v>
      </c>
      <c r="C248" s="7" t="n">
        <v>1</v>
      </c>
      <c r="D248" s="7" t="s">
        <v>6</v>
      </c>
      <c r="E248" s="7" t="n">
        <v>3</v>
      </c>
      <c r="F248" s="9" t="s">
        <v>10</v>
      </c>
    </row>
    <row r="249" customFormat="false" ht="15" hidden="false" customHeight="false" outlineLevel="0" collapsed="false">
      <c r="A249" s="7" t="n">
        <v>248</v>
      </c>
      <c r="B249" s="8" t="n">
        <v>39</v>
      </c>
      <c r="C249" s="7" t="n">
        <v>1</v>
      </c>
      <c r="D249" s="7" t="s">
        <v>6</v>
      </c>
      <c r="E249" s="7" t="n">
        <v>1</v>
      </c>
      <c r="F249" s="9" t="s">
        <v>11</v>
      </c>
    </row>
    <row r="250" customFormat="false" ht="15" hidden="false" customHeight="false" outlineLevel="0" collapsed="false">
      <c r="A250" s="7" t="n">
        <v>249</v>
      </c>
      <c r="B250" s="8" t="n">
        <v>39</v>
      </c>
      <c r="C250" s="7" t="n">
        <v>1</v>
      </c>
      <c r="D250" s="7" t="s">
        <v>6</v>
      </c>
      <c r="E250" s="7" t="n">
        <v>2</v>
      </c>
      <c r="F250" s="9" t="s">
        <v>7</v>
      </c>
    </row>
    <row r="251" customFormat="false" ht="15" hidden="false" customHeight="false" outlineLevel="0" collapsed="false">
      <c r="A251" s="7" t="n">
        <v>250</v>
      </c>
      <c r="B251" s="8" t="n">
        <v>39</v>
      </c>
      <c r="C251" s="7" t="n">
        <v>1</v>
      </c>
      <c r="D251" s="7" t="s">
        <v>6</v>
      </c>
      <c r="E251" s="7" t="n">
        <v>2</v>
      </c>
      <c r="F251" s="9" t="s">
        <v>7</v>
      </c>
    </row>
    <row r="252" customFormat="false" ht="15" hidden="false" customHeight="false" outlineLevel="0" collapsed="false">
      <c r="A252" s="7" t="n">
        <v>251</v>
      </c>
      <c r="B252" s="8" t="n">
        <v>39</v>
      </c>
      <c r="C252" s="7" t="n">
        <v>0</v>
      </c>
      <c r="D252" s="7" t="s">
        <v>15</v>
      </c>
      <c r="E252" s="7" t="n">
        <v>1</v>
      </c>
      <c r="F252" s="9" t="s">
        <v>11</v>
      </c>
    </row>
    <row r="253" customFormat="false" ht="15" hidden="false" customHeight="false" outlineLevel="0" collapsed="false">
      <c r="A253" s="7" t="n">
        <v>252</v>
      </c>
      <c r="B253" s="8" t="n">
        <v>39</v>
      </c>
      <c r="C253" s="7" t="n">
        <v>1</v>
      </c>
      <c r="D253" s="7" t="s">
        <v>6</v>
      </c>
      <c r="E253" s="7" t="n">
        <v>1</v>
      </c>
      <c r="F253" s="9" t="s">
        <v>11</v>
      </c>
    </row>
    <row r="254" customFormat="false" ht="15" hidden="false" customHeight="false" outlineLevel="0" collapsed="false">
      <c r="A254" s="7" t="n">
        <v>253</v>
      </c>
      <c r="B254" s="8" t="n">
        <v>39</v>
      </c>
      <c r="C254" s="7" t="n">
        <v>1</v>
      </c>
      <c r="D254" s="7" t="s">
        <v>6</v>
      </c>
      <c r="E254" s="7" t="n">
        <v>2</v>
      </c>
      <c r="F254" s="9" t="s">
        <v>7</v>
      </c>
    </row>
    <row r="255" customFormat="false" ht="15" hidden="false" customHeight="false" outlineLevel="0" collapsed="false">
      <c r="A255" s="7" t="n">
        <v>254</v>
      </c>
      <c r="B255" s="8" t="n">
        <v>39</v>
      </c>
      <c r="C255" s="7" t="n">
        <v>1</v>
      </c>
      <c r="D255" s="7" t="s">
        <v>6</v>
      </c>
      <c r="E255" s="7" t="n">
        <v>2</v>
      </c>
      <c r="F255" s="9" t="s">
        <v>7</v>
      </c>
    </row>
    <row r="256" customFormat="false" ht="15" hidden="false" customHeight="false" outlineLevel="0" collapsed="false">
      <c r="A256" s="7" t="n">
        <v>255</v>
      </c>
      <c r="B256" s="8" t="n">
        <v>39</v>
      </c>
      <c r="C256" s="7" t="n">
        <v>1</v>
      </c>
      <c r="D256" s="7" t="s">
        <v>6</v>
      </c>
      <c r="E256" s="7" t="n">
        <v>3</v>
      </c>
      <c r="F256" s="9" t="s">
        <v>10</v>
      </c>
    </row>
    <row r="257" customFormat="false" ht="15" hidden="false" customHeight="false" outlineLevel="0" collapsed="false">
      <c r="A257" s="7" t="n">
        <v>256</v>
      </c>
      <c r="B257" s="8" t="n">
        <v>39</v>
      </c>
      <c r="C257" s="7" t="n">
        <v>1</v>
      </c>
      <c r="D257" s="7" t="s">
        <v>6</v>
      </c>
      <c r="E257" s="7" t="n">
        <v>3</v>
      </c>
      <c r="F257" s="9" t="s">
        <v>10</v>
      </c>
    </row>
    <row r="258" customFormat="false" ht="15" hidden="false" customHeight="false" outlineLevel="0" collapsed="false">
      <c r="A258" s="7" t="n">
        <v>257</v>
      </c>
      <c r="B258" s="8" t="n">
        <v>39</v>
      </c>
      <c r="C258" s="7" t="n">
        <v>0</v>
      </c>
      <c r="D258" s="7" t="s">
        <v>15</v>
      </c>
      <c r="E258" s="7" t="n">
        <v>1</v>
      </c>
      <c r="F258" s="9" t="s">
        <v>11</v>
      </c>
    </row>
    <row r="259" customFormat="false" ht="15" hidden="false" customHeight="false" outlineLevel="0" collapsed="false">
      <c r="A259" s="7" t="n">
        <v>258</v>
      </c>
      <c r="B259" s="8" t="n">
        <v>39</v>
      </c>
      <c r="C259" s="7" t="n">
        <v>1</v>
      </c>
      <c r="D259" s="7" t="s">
        <v>6</v>
      </c>
      <c r="E259" s="7" t="n">
        <v>2</v>
      </c>
      <c r="F259" s="9" t="s">
        <v>7</v>
      </c>
    </row>
    <row r="260" customFormat="false" ht="15" hidden="false" customHeight="false" outlineLevel="0" collapsed="false">
      <c r="A260" s="7" t="n">
        <v>259</v>
      </c>
      <c r="B260" s="8" t="n">
        <v>39</v>
      </c>
      <c r="C260" s="7" t="n">
        <v>0</v>
      </c>
      <c r="D260" s="7" t="s">
        <v>15</v>
      </c>
      <c r="E260" s="7" t="n">
        <v>2</v>
      </c>
      <c r="F260" s="9" t="s">
        <v>7</v>
      </c>
    </row>
    <row r="261" customFormat="false" ht="15" hidden="false" customHeight="false" outlineLevel="0" collapsed="false">
      <c r="A261" s="7" t="n">
        <v>260</v>
      </c>
      <c r="B261" s="8" t="n">
        <v>39</v>
      </c>
      <c r="C261" s="7" t="n">
        <v>0</v>
      </c>
      <c r="D261" s="7" t="s">
        <v>15</v>
      </c>
      <c r="E261" s="7" t="n">
        <v>2</v>
      </c>
      <c r="F261" s="9" t="s">
        <v>7</v>
      </c>
    </row>
    <row r="262" customFormat="false" ht="15" hidden="false" customHeight="false" outlineLevel="0" collapsed="false">
      <c r="A262" s="7" t="n">
        <v>261</v>
      </c>
      <c r="B262" s="8" t="n">
        <v>40</v>
      </c>
      <c r="C262" s="7" t="n">
        <v>1</v>
      </c>
      <c r="D262" s="7" t="s">
        <v>6</v>
      </c>
      <c r="E262" s="7" t="n">
        <v>2</v>
      </c>
      <c r="F262" s="9" t="s">
        <v>7</v>
      </c>
    </row>
    <row r="263" customFormat="false" ht="15" hidden="false" customHeight="false" outlineLevel="0" collapsed="false">
      <c r="A263" s="7" t="n">
        <v>262</v>
      </c>
      <c r="B263" s="8" t="n">
        <v>40</v>
      </c>
      <c r="C263" s="7" t="n">
        <v>0</v>
      </c>
      <c r="D263" s="7" t="s">
        <v>15</v>
      </c>
      <c r="E263" s="7" t="n">
        <v>3</v>
      </c>
      <c r="F263" s="9" t="s">
        <v>10</v>
      </c>
    </row>
    <row r="264" customFormat="false" ht="15" hidden="false" customHeight="false" outlineLevel="0" collapsed="false">
      <c r="A264" s="7" t="n">
        <v>263</v>
      </c>
      <c r="B264" s="8" t="n">
        <v>40</v>
      </c>
      <c r="C264" s="7" t="n">
        <v>0</v>
      </c>
      <c r="D264" s="7" t="s">
        <v>15</v>
      </c>
      <c r="E264" s="7" t="n">
        <v>3</v>
      </c>
      <c r="F264" s="9" t="s">
        <v>10</v>
      </c>
    </row>
    <row r="265" customFormat="false" ht="15" hidden="false" customHeight="false" outlineLevel="0" collapsed="false">
      <c r="A265" s="7" t="n">
        <v>264</v>
      </c>
      <c r="B265" s="8" t="n">
        <v>40</v>
      </c>
      <c r="C265" s="7" t="n">
        <v>1</v>
      </c>
      <c r="D265" s="7" t="s">
        <v>6</v>
      </c>
      <c r="E265" s="7" t="n">
        <v>1</v>
      </c>
      <c r="F265" s="9" t="s">
        <v>11</v>
      </c>
    </row>
    <row r="266" customFormat="false" ht="15" hidden="false" customHeight="false" outlineLevel="0" collapsed="false">
      <c r="A266" s="7" t="n">
        <v>265</v>
      </c>
      <c r="B266" s="8" t="n">
        <v>40</v>
      </c>
      <c r="C266" s="7" t="n">
        <v>0</v>
      </c>
      <c r="D266" s="7" t="s">
        <v>15</v>
      </c>
      <c r="E266" s="7" t="n">
        <v>3</v>
      </c>
      <c r="F266" s="9" t="s">
        <v>10</v>
      </c>
    </row>
    <row r="267" customFormat="false" ht="15" hidden="false" customHeight="false" outlineLevel="0" collapsed="false">
      <c r="A267" s="7" t="n">
        <v>266</v>
      </c>
      <c r="B267" s="8" t="n">
        <v>40</v>
      </c>
      <c r="C267" s="7" t="n">
        <v>0</v>
      </c>
      <c r="D267" s="7" t="s">
        <v>15</v>
      </c>
      <c r="E267" s="7" t="n">
        <v>2</v>
      </c>
      <c r="F267" s="9" t="s">
        <v>7</v>
      </c>
    </row>
    <row r="268" customFormat="false" ht="15" hidden="false" customHeight="false" outlineLevel="0" collapsed="false">
      <c r="A268" s="7" t="n">
        <v>267</v>
      </c>
      <c r="B268" s="8" t="n">
        <v>40</v>
      </c>
      <c r="C268" s="7" t="n">
        <v>1</v>
      </c>
      <c r="D268" s="7" t="s">
        <v>6</v>
      </c>
      <c r="E268" s="7" t="n">
        <v>1</v>
      </c>
      <c r="F268" s="9" t="s">
        <v>11</v>
      </c>
    </row>
    <row r="269" customFormat="false" ht="15" hidden="false" customHeight="false" outlineLevel="0" collapsed="false">
      <c r="A269" s="7" t="n">
        <v>268</v>
      </c>
      <c r="B269" s="8" t="n">
        <v>40</v>
      </c>
      <c r="C269" s="7" t="n">
        <v>0</v>
      </c>
      <c r="D269" s="7" t="s">
        <v>15</v>
      </c>
      <c r="E269" s="7" t="n">
        <v>3</v>
      </c>
      <c r="F269" s="9" t="s">
        <v>10</v>
      </c>
    </row>
    <row r="270" customFormat="false" ht="15" hidden="false" customHeight="false" outlineLevel="0" collapsed="false">
      <c r="A270" s="7" t="n">
        <v>269</v>
      </c>
      <c r="B270" s="8" t="n">
        <v>40</v>
      </c>
      <c r="C270" s="7" t="n">
        <v>0</v>
      </c>
      <c r="D270" s="7" t="s">
        <v>15</v>
      </c>
      <c r="E270" s="7" t="n">
        <v>2</v>
      </c>
      <c r="F270" s="9" t="s">
        <v>7</v>
      </c>
    </row>
    <row r="271" customFormat="false" ht="15" hidden="false" customHeight="false" outlineLevel="0" collapsed="false">
      <c r="A271" s="7" t="n">
        <v>270</v>
      </c>
      <c r="B271" s="8" t="n">
        <v>40</v>
      </c>
      <c r="C271" s="7" t="n">
        <v>0</v>
      </c>
      <c r="D271" s="7" t="s">
        <v>15</v>
      </c>
      <c r="E271" s="7" t="n">
        <v>1</v>
      </c>
      <c r="F271" s="9" t="s">
        <v>11</v>
      </c>
    </row>
    <row r="272" customFormat="false" ht="15" hidden="false" customHeight="false" outlineLevel="0" collapsed="false">
      <c r="A272" s="7" t="n">
        <v>271</v>
      </c>
      <c r="B272" s="8" t="n">
        <v>40</v>
      </c>
      <c r="C272" s="7" t="n">
        <v>0</v>
      </c>
      <c r="D272" s="7" t="s">
        <v>15</v>
      </c>
      <c r="E272" s="7" t="n">
        <v>1</v>
      </c>
      <c r="F272" s="9" t="s">
        <v>11</v>
      </c>
    </row>
    <row r="273" customFormat="false" ht="15" hidden="false" customHeight="false" outlineLevel="0" collapsed="false">
      <c r="A273" s="7" t="n">
        <v>272</v>
      </c>
      <c r="B273" s="8" t="n">
        <v>40</v>
      </c>
      <c r="C273" s="7" t="n">
        <v>1</v>
      </c>
      <c r="D273" s="7" t="s">
        <v>6</v>
      </c>
      <c r="E273" s="7" t="n">
        <v>1</v>
      </c>
      <c r="F273" s="9" t="s">
        <v>11</v>
      </c>
    </row>
    <row r="274" customFormat="false" ht="15" hidden="false" customHeight="false" outlineLevel="0" collapsed="false">
      <c r="A274" s="7" t="n">
        <v>273</v>
      </c>
      <c r="B274" s="8" t="n">
        <v>40</v>
      </c>
      <c r="C274" s="7" t="n">
        <v>0</v>
      </c>
      <c r="D274" s="7" t="s">
        <v>15</v>
      </c>
      <c r="E274" s="7" t="n">
        <v>1</v>
      </c>
      <c r="F274" s="9" t="s">
        <v>11</v>
      </c>
    </row>
    <row r="275" customFormat="false" ht="15" hidden="false" customHeight="false" outlineLevel="0" collapsed="false">
      <c r="A275" s="7" t="n">
        <v>274</v>
      </c>
      <c r="B275" s="8" t="n">
        <v>40</v>
      </c>
      <c r="C275" s="7" t="n">
        <v>0</v>
      </c>
      <c r="D275" s="7" t="s">
        <v>15</v>
      </c>
      <c r="E275" s="7" t="n">
        <v>1</v>
      </c>
      <c r="F275" s="9" t="s">
        <v>11</v>
      </c>
    </row>
    <row r="276" customFormat="false" ht="15" hidden="false" customHeight="false" outlineLevel="0" collapsed="false">
      <c r="A276" s="7" t="n">
        <v>275</v>
      </c>
      <c r="B276" s="8" t="n">
        <v>40</v>
      </c>
      <c r="C276" s="7" t="n">
        <v>0</v>
      </c>
      <c r="D276" s="7" t="s">
        <v>15</v>
      </c>
      <c r="E276" s="7" t="n">
        <v>2</v>
      </c>
      <c r="F276" s="9" t="s">
        <v>7</v>
      </c>
    </row>
    <row r="277" customFormat="false" ht="15" hidden="false" customHeight="false" outlineLevel="0" collapsed="false">
      <c r="A277" s="7" t="n">
        <v>276</v>
      </c>
      <c r="B277" s="8" t="n">
        <v>40</v>
      </c>
      <c r="C277" s="7" t="n">
        <v>0</v>
      </c>
      <c r="D277" s="7" t="s">
        <v>15</v>
      </c>
      <c r="E277" s="7" t="n">
        <v>2</v>
      </c>
      <c r="F277" s="9" t="s">
        <v>7</v>
      </c>
    </row>
    <row r="278" customFormat="false" ht="15" hidden="false" customHeight="false" outlineLevel="0" collapsed="false">
      <c r="A278" s="7" t="n">
        <v>277</v>
      </c>
      <c r="B278" s="8" t="n">
        <v>40</v>
      </c>
      <c r="C278" s="7" t="n">
        <v>1</v>
      </c>
      <c r="D278" s="7" t="s">
        <v>6</v>
      </c>
      <c r="E278" s="7" t="n">
        <v>1</v>
      </c>
      <c r="F278" s="9" t="s">
        <v>11</v>
      </c>
    </row>
    <row r="279" customFormat="false" ht="15" hidden="false" customHeight="false" outlineLevel="0" collapsed="false">
      <c r="A279" s="7" t="n">
        <v>278</v>
      </c>
      <c r="B279" s="8" t="n">
        <v>40</v>
      </c>
      <c r="C279" s="7" t="n">
        <v>0</v>
      </c>
      <c r="D279" s="7" t="s">
        <v>15</v>
      </c>
      <c r="E279" s="7" t="n">
        <v>3</v>
      </c>
      <c r="F279" s="9" t="s">
        <v>10</v>
      </c>
    </row>
    <row r="280" customFormat="false" ht="15" hidden="false" customHeight="false" outlineLevel="0" collapsed="false">
      <c r="A280" s="7" t="n">
        <v>279</v>
      </c>
      <c r="B280" s="8" t="n">
        <v>40</v>
      </c>
      <c r="C280" s="7" t="n">
        <v>0</v>
      </c>
      <c r="D280" s="7" t="s">
        <v>15</v>
      </c>
      <c r="E280" s="7" t="n">
        <v>3</v>
      </c>
      <c r="F280" s="9" t="s">
        <v>10</v>
      </c>
    </row>
    <row r="281" customFormat="false" ht="15" hidden="false" customHeight="false" outlineLevel="0" collapsed="false">
      <c r="A281" s="7" t="n">
        <v>280</v>
      </c>
      <c r="B281" s="8" t="n">
        <v>40</v>
      </c>
      <c r="C281" s="7" t="n">
        <v>0</v>
      </c>
      <c r="D281" s="7" t="s">
        <v>15</v>
      </c>
      <c r="E281" s="7" t="n">
        <v>1</v>
      </c>
      <c r="F281" s="9" t="s">
        <v>11</v>
      </c>
    </row>
    <row r="282" customFormat="false" ht="15" hidden="false" customHeight="false" outlineLevel="0" collapsed="false">
      <c r="A282" s="7" t="n">
        <v>281</v>
      </c>
      <c r="B282" s="8" t="n">
        <v>40</v>
      </c>
      <c r="C282" s="7" t="n">
        <v>0</v>
      </c>
      <c r="D282" s="7" t="s">
        <v>15</v>
      </c>
      <c r="E282" s="7" t="n">
        <v>3</v>
      </c>
      <c r="F282" s="9" t="s">
        <v>10</v>
      </c>
    </row>
    <row r="283" customFormat="false" ht="15" hidden="false" customHeight="false" outlineLevel="0" collapsed="false">
      <c r="A283" s="7" t="n">
        <v>282</v>
      </c>
      <c r="B283" s="8" t="n">
        <v>40</v>
      </c>
      <c r="C283" s="7" t="n">
        <v>0</v>
      </c>
      <c r="D283" s="7" t="s">
        <v>15</v>
      </c>
      <c r="E283" s="7" t="n">
        <v>1</v>
      </c>
      <c r="F283" s="9" t="s">
        <v>11</v>
      </c>
    </row>
    <row r="284" customFormat="false" ht="15" hidden="false" customHeight="false" outlineLevel="0" collapsed="false">
      <c r="A284" s="7" t="n">
        <v>283</v>
      </c>
      <c r="B284" s="8" t="n">
        <v>40</v>
      </c>
      <c r="C284" s="7" t="n">
        <v>1</v>
      </c>
      <c r="D284" s="7" t="s">
        <v>6</v>
      </c>
      <c r="E284" s="7" t="n">
        <v>1</v>
      </c>
      <c r="F284" s="9" t="s">
        <v>11</v>
      </c>
    </row>
    <row r="285" customFormat="false" ht="15" hidden="false" customHeight="false" outlineLevel="0" collapsed="false">
      <c r="A285" s="7" t="n">
        <v>284</v>
      </c>
      <c r="B285" s="8" t="n">
        <v>40</v>
      </c>
      <c r="C285" s="7" t="n">
        <v>0</v>
      </c>
      <c r="D285" s="7" t="s">
        <v>15</v>
      </c>
      <c r="E285" s="7" t="n">
        <v>2</v>
      </c>
      <c r="F285" s="9" t="s">
        <v>7</v>
      </c>
    </row>
    <row r="286" customFormat="false" ht="15" hidden="false" customHeight="false" outlineLevel="0" collapsed="false">
      <c r="A286" s="7" t="n">
        <v>285</v>
      </c>
      <c r="B286" s="8" t="n">
        <v>40</v>
      </c>
      <c r="C286" s="7" t="n">
        <v>0</v>
      </c>
      <c r="D286" s="7" t="s">
        <v>15</v>
      </c>
      <c r="E286" s="7" t="n">
        <v>2</v>
      </c>
      <c r="F286" s="9" t="s">
        <v>7</v>
      </c>
    </row>
    <row r="287" customFormat="false" ht="15" hidden="false" customHeight="false" outlineLevel="0" collapsed="false">
      <c r="A287" s="7" t="n">
        <v>286</v>
      </c>
      <c r="B287" s="8" t="n">
        <v>40</v>
      </c>
      <c r="C287" s="7" t="n">
        <v>1</v>
      </c>
      <c r="D287" s="7" t="s">
        <v>6</v>
      </c>
      <c r="E287" s="7" t="n">
        <v>2</v>
      </c>
      <c r="F287" s="9" t="s">
        <v>7</v>
      </c>
    </row>
    <row r="288" customFormat="false" ht="15" hidden="false" customHeight="false" outlineLevel="0" collapsed="false">
      <c r="A288" s="7" t="n">
        <v>287</v>
      </c>
      <c r="B288" s="8" t="n">
        <v>40</v>
      </c>
      <c r="C288" s="7" t="n">
        <v>0</v>
      </c>
      <c r="D288" s="7" t="s">
        <v>15</v>
      </c>
      <c r="E288" s="7" t="n">
        <v>1</v>
      </c>
      <c r="F288" s="9" t="s">
        <v>11</v>
      </c>
    </row>
    <row r="289" customFormat="false" ht="15" hidden="false" customHeight="false" outlineLevel="0" collapsed="false">
      <c r="A289" s="7" t="n">
        <v>288</v>
      </c>
      <c r="B289" s="8" t="n">
        <v>41</v>
      </c>
      <c r="C289" s="7" t="n">
        <v>1</v>
      </c>
      <c r="D289" s="7" t="s">
        <v>6</v>
      </c>
      <c r="E289" s="7" t="n">
        <v>1</v>
      </c>
      <c r="F289" s="9" t="s">
        <v>11</v>
      </c>
    </row>
    <row r="290" customFormat="false" ht="15" hidden="false" customHeight="false" outlineLevel="0" collapsed="false">
      <c r="A290" s="7" t="n">
        <v>289</v>
      </c>
      <c r="B290" s="8" t="n">
        <v>41</v>
      </c>
      <c r="C290" s="7" t="n">
        <v>1</v>
      </c>
      <c r="D290" s="7" t="s">
        <v>6</v>
      </c>
      <c r="E290" s="7" t="n">
        <v>3</v>
      </c>
      <c r="F290" s="9" t="s">
        <v>10</v>
      </c>
    </row>
    <row r="291" customFormat="false" ht="15" hidden="false" customHeight="false" outlineLevel="0" collapsed="false">
      <c r="A291" s="7" t="n">
        <v>290</v>
      </c>
      <c r="B291" s="8" t="n">
        <v>41</v>
      </c>
      <c r="C291" s="7" t="n">
        <v>0</v>
      </c>
      <c r="D291" s="7" t="s">
        <v>15</v>
      </c>
      <c r="E291" s="7" t="n">
        <v>2</v>
      </c>
      <c r="F291" s="9" t="s">
        <v>7</v>
      </c>
    </row>
    <row r="292" customFormat="false" ht="15" hidden="false" customHeight="false" outlineLevel="0" collapsed="false">
      <c r="A292" s="7" t="n">
        <v>291</v>
      </c>
      <c r="B292" s="8" t="n">
        <v>41</v>
      </c>
      <c r="C292" s="7" t="n">
        <v>1</v>
      </c>
      <c r="D292" s="7" t="s">
        <v>6</v>
      </c>
      <c r="E292" s="7" t="n">
        <v>1</v>
      </c>
      <c r="F292" s="9" t="s">
        <v>11</v>
      </c>
    </row>
    <row r="293" customFormat="false" ht="15" hidden="false" customHeight="false" outlineLevel="0" collapsed="false">
      <c r="A293" s="7" t="n">
        <v>292</v>
      </c>
      <c r="B293" s="8" t="n">
        <v>41</v>
      </c>
      <c r="C293" s="7" t="n">
        <v>1</v>
      </c>
      <c r="D293" s="7" t="s">
        <v>6</v>
      </c>
      <c r="E293" s="7" t="n">
        <v>1</v>
      </c>
      <c r="F293" s="9" t="s">
        <v>11</v>
      </c>
    </row>
    <row r="294" customFormat="false" ht="15" hidden="false" customHeight="false" outlineLevel="0" collapsed="false">
      <c r="A294" s="7" t="n">
        <v>293</v>
      </c>
      <c r="B294" s="8" t="n">
        <v>41</v>
      </c>
      <c r="C294" s="7" t="n">
        <v>1</v>
      </c>
      <c r="D294" s="7" t="s">
        <v>6</v>
      </c>
      <c r="E294" s="7" t="n">
        <v>3</v>
      </c>
      <c r="F294" s="9" t="s">
        <v>10</v>
      </c>
    </row>
    <row r="295" customFormat="false" ht="15" hidden="false" customHeight="false" outlineLevel="0" collapsed="false">
      <c r="A295" s="7" t="n">
        <v>294</v>
      </c>
      <c r="B295" s="8" t="n">
        <v>41</v>
      </c>
      <c r="C295" s="7" t="n">
        <v>0</v>
      </c>
      <c r="D295" s="7" t="s">
        <v>15</v>
      </c>
      <c r="E295" s="7" t="n">
        <v>1</v>
      </c>
      <c r="F295" s="9" t="s">
        <v>11</v>
      </c>
    </row>
    <row r="296" customFormat="false" ht="15" hidden="false" customHeight="false" outlineLevel="0" collapsed="false">
      <c r="A296" s="7" t="n">
        <v>295</v>
      </c>
      <c r="B296" s="8" t="n">
        <v>41</v>
      </c>
      <c r="C296" s="7" t="n">
        <v>0</v>
      </c>
      <c r="D296" s="7" t="s">
        <v>15</v>
      </c>
      <c r="E296" s="7" t="n">
        <v>2</v>
      </c>
      <c r="F296" s="9" t="s">
        <v>7</v>
      </c>
    </row>
    <row r="297" customFormat="false" ht="15" hidden="false" customHeight="false" outlineLevel="0" collapsed="false">
      <c r="A297" s="7" t="n">
        <v>296</v>
      </c>
      <c r="B297" s="8" t="n">
        <v>41</v>
      </c>
      <c r="C297" s="7" t="n">
        <v>1</v>
      </c>
      <c r="D297" s="7" t="s">
        <v>6</v>
      </c>
      <c r="E297" s="7" t="n">
        <v>1</v>
      </c>
      <c r="F297" s="9" t="s">
        <v>11</v>
      </c>
    </row>
    <row r="298" customFormat="false" ht="15" hidden="false" customHeight="false" outlineLevel="0" collapsed="false">
      <c r="A298" s="7" t="n">
        <v>297</v>
      </c>
      <c r="B298" s="8" t="n">
        <v>41</v>
      </c>
      <c r="C298" s="7" t="n">
        <v>1</v>
      </c>
      <c r="D298" s="7" t="s">
        <v>6</v>
      </c>
      <c r="E298" s="7" t="n">
        <v>2</v>
      </c>
      <c r="F298" s="9" t="s">
        <v>7</v>
      </c>
    </row>
    <row r="299" customFormat="false" ht="15" hidden="false" customHeight="false" outlineLevel="0" collapsed="false">
      <c r="A299" s="7" t="n">
        <v>298</v>
      </c>
      <c r="B299" s="8" t="n">
        <v>41</v>
      </c>
      <c r="C299" s="7" t="n">
        <v>0</v>
      </c>
      <c r="D299" s="7" t="s">
        <v>15</v>
      </c>
      <c r="E299" s="7" t="n">
        <v>3</v>
      </c>
      <c r="F299" s="9" t="s">
        <v>10</v>
      </c>
    </row>
    <row r="300" customFormat="false" ht="15" hidden="false" customHeight="false" outlineLevel="0" collapsed="false">
      <c r="A300" s="7" t="n">
        <v>299</v>
      </c>
      <c r="B300" s="8" t="n">
        <v>41</v>
      </c>
      <c r="C300" s="7" t="n">
        <v>0</v>
      </c>
      <c r="D300" s="7" t="s">
        <v>15</v>
      </c>
      <c r="E300" s="7" t="n">
        <v>3</v>
      </c>
      <c r="F300" s="9" t="s">
        <v>10</v>
      </c>
    </row>
    <row r="301" customFormat="false" ht="15" hidden="false" customHeight="false" outlineLevel="0" collapsed="false">
      <c r="A301" s="7" t="n">
        <v>300</v>
      </c>
      <c r="B301" s="8" t="n">
        <v>41</v>
      </c>
      <c r="C301" s="7" t="n">
        <v>0</v>
      </c>
      <c r="D301" s="7" t="s">
        <v>15</v>
      </c>
      <c r="E301" s="7" t="n">
        <v>3</v>
      </c>
      <c r="F301" s="9" t="s">
        <v>10</v>
      </c>
    </row>
    <row r="302" customFormat="false" ht="15" hidden="false" customHeight="false" outlineLevel="0" collapsed="false">
      <c r="A302" s="7" t="n">
        <v>301</v>
      </c>
      <c r="B302" s="8" t="n">
        <v>41</v>
      </c>
      <c r="C302" s="7" t="n">
        <v>0</v>
      </c>
      <c r="D302" s="7" t="s">
        <v>15</v>
      </c>
      <c r="E302" s="7" t="n">
        <v>3</v>
      </c>
      <c r="F302" s="9" t="s">
        <v>10</v>
      </c>
    </row>
    <row r="303" customFormat="false" ht="15" hidden="false" customHeight="false" outlineLevel="0" collapsed="false">
      <c r="A303" s="7" t="n">
        <v>302</v>
      </c>
      <c r="B303" s="8" t="n">
        <v>41</v>
      </c>
      <c r="C303" s="7" t="n">
        <v>0</v>
      </c>
      <c r="D303" s="7" t="s">
        <v>15</v>
      </c>
      <c r="E303" s="7" t="n">
        <v>2</v>
      </c>
      <c r="F303" s="9" t="s">
        <v>7</v>
      </c>
    </row>
    <row r="304" customFormat="false" ht="15" hidden="false" customHeight="false" outlineLevel="0" collapsed="false">
      <c r="A304" s="7" t="n">
        <v>303</v>
      </c>
      <c r="B304" s="8" t="n">
        <v>41</v>
      </c>
      <c r="C304" s="7" t="n">
        <v>1</v>
      </c>
      <c r="D304" s="7" t="s">
        <v>6</v>
      </c>
      <c r="E304" s="7" t="n">
        <v>2</v>
      </c>
      <c r="F304" s="9" t="s">
        <v>7</v>
      </c>
    </row>
    <row r="305" customFormat="false" ht="15" hidden="false" customHeight="false" outlineLevel="0" collapsed="false">
      <c r="A305" s="7" t="n">
        <v>304</v>
      </c>
      <c r="B305" s="8" t="n">
        <v>41</v>
      </c>
      <c r="C305" s="7" t="n">
        <v>1</v>
      </c>
      <c r="D305" s="7" t="s">
        <v>6</v>
      </c>
      <c r="E305" s="7" t="n">
        <v>3</v>
      </c>
      <c r="F305" s="9" t="s">
        <v>10</v>
      </c>
    </row>
    <row r="306" customFormat="false" ht="15" hidden="false" customHeight="false" outlineLevel="0" collapsed="false">
      <c r="A306" s="7" t="n">
        <v>305</v>
      </c>
      <c r="B306" s="8" t="n">
        <v>41</v>
      </c>
      <c r="C306" s="7" t="n">
        <v>0</v>
      </c>
      <c r="D306" s="7" t="s">
        <v>15</v>
      </c>
      <c r="E306" s="7" t="n">
        <v>3</v>
      </c>
      <c r="F306" s="9" t="s">
        <v>10</v>
      </c>
    </row>
    <row r="307" customFormat="false" ht="15" hidden="false" customHeight="false" outlineLevel="0" collapsed="false">
      <c r="A307" s="7" t="n">
        <v>306</v>
      </c>
      <c r="B307" s="8" t="n">
        <v>41</v>
      </c>
      <c r="C307" s="7" t="n">
        <v>1</v>
      </c>
      <c r="D307" s="7" t="s">
        <v>6</v>
      </c>
      <c r="E307" s="7" t="n">
        <v>1</v>
      </c>
      <c r="F307" s="9" t="s">
        <v>11</v>
      </c>
    </row>
    <row r="308" customFormat="false" ht="15" hidden="false" customHeight="false" outlineLevel="0" collapsed="false">
      <c r="A308" s="7" t="n">
        <v>307</v>
      </c>
      <c r="B308" s="8" t="n">
        <v>41</v>
      </c>
      <c r="C308" s="7" t="n">
        <v>1</v>
      </c>
      <c r="D308" s="7" t="s">
        <v>6</v>
      </c>
      <c r="E308" s="7" t="n">
        <v>1</v>
      </c>
      <c r="F308" s="9" t="s">
        <v>11</v>
      </c>
    </row>
    <row r="309" customFormat="false" ht="15" hidden="false" customHeight="false" outlineLevel="0" collapsed="false">
      <c r="A309" s="7" t="n">
        <v>308</v>
      </c>
      <c r="B309" s="8" t="n">
        <v>41</v>
      </c>
      <c r="C309" s="7" t="n">
        <v>1</v>
      </c>
      <c r="D309" s="7" t="s">
        <v>6</v>
      </c>
      <c r="E309" s="7" t="n">
        <v>1</v>
      </c>
      <c r="F309" s="9" t="s">
        <v>11</v>
      </c>
    </row>
    <row r="310" customFormat="false" ht="15" hidden="false" customHeight="false" outlineLevel="0" collapsed="false">
      <c r="A310" s="7" t="n">
        <v>309</v>
      </c>
      <c r="B310" s="8" t="n">
        <v>41</v>
      </c>
      <c r="C310" s="7" t="n">
        <v>0</v>
      </c>
      <c r="D310" s="7" t="s">
        <v>15</v>
      </c>
      <c r="E310" s="7" t="n">
        <v>3</v>
      </c>
      <c r="F310" s="9" t="s">
        <v>10</v>
      </c>
    </row>
    <row r="311" customFormat="false" ht="15" hidden="false" customHeight="false" outlineLevel="0" collapsed="false">
      <c r="A311" s="7" t="n">
        <v>310</v>
      </c>
      <c r="B311" s="8" t="n">
        <v>41</v>
      </c>
      <c r="C311" s="7" t="n">
        <v>1</v>
      </c>
      <c r="D311" s="7" t="s">
        <v>6</v>
      </c>
      <c r="E311" s="7" t="n">
        <v>1</v>
      </c>
      <c r="F311" s="9" t="s">
        <v>11</v>
      </c>
    </row>
    <row r="312" customFormat="false" ht="15" hidden="false" customHeight="false" outlineLevel="0" collapsed="false">
      <c r="A312" s="7" t="n">
        <v>311</v>
      </c>
      <c r="B312" s="8" t="n">
        <v>41</v>
      </c>
      <c r="C312" s="7" t="n">
        <v>1</v>
      </c>
      <c r="D312" s="7" t="s">
        <v>6</v>
      </c>
      <c r="E312" s="7" t="n">
        <v>2</v>
      </c>
      <c r="F312" s="9" t="s">
        <v>7</v>
      </c>
    </row>
    <row r="313" customFormat="false" ht="15" hidden="false" customHeight="false" outlineLevel="0" collapsed="false">
      <c r="A313" s="7" t="n">
        <v>312</v>
      </c>
      <c r="B313" s="8" t="n">
        <v>41</v>
      </c>
      <c r="C313" s="7" t="n">
        <v>1</v>
      </c>
      <c r="D313" s="7" t="s">
        <v>6</v>
      </c>
      <c r="E313" s="7" t="n">
        <v>2</v>
      </c>
      <c r="F313" s="9" t="s">
        <v>7</v>
      </c>
    </row>
    <row r="314" customFormat="false" ht="15" hidden="false" customHeight="false" outlineLevel="0" collapsed="false">
      <c r="A314" s="7" t="n">
        <v>313</v>
      </c>
      <c r="B314" s="8" t="n">
        <v>42</v>
      </c>
      <c r="C314" s="7" t="n">
        <v>1</v>
      </c>
      <c r="D314" s="7" t="s">
        <v>6</v>
      </c>
      <c r="E314" s="7" t="n">
        <v>2</v>
      </c>
      <c r="F314" s="9" t="s">
        <v>7</v>
      </c>
    </row>
    <row r="315" customFormat="false" ht="15" hidden="false" customHeight="false" outlineLevel="0" collapsed="false">
      <c r="A315" s="7" t="n">
        <v>314</v>
      </c>
      <c r="B315" s="8" t="n">
        <v>42</v>
      </c>
      <c r="C315" s="7" t="n">
        <v>0</v>
      </c>
      <c r="D315" s="7" t="s">
        <v>15</v>
      </c>
      <c r="E315" s="7" t="n">
        <v>3</v>
      </c>
      <c r="F315" s="9" t="s">
        <v>10</v>
      </c>
    </row>
    <row r="316" customFormat="false" ht="15" hidden="false" customHeight="false" outlineLevel="0" collapsed="false">
      <c r="A316" s="7" t="n">
        <v>315</v>
      </c>
      <c r="B316" s="8" t="n">
        <v>42</v>
      </c>
      <c r="C316" s="7" t="n">
        <v>0</v>
      </c>
      <c r="D316" s="7" t="s">
        <v>15</v>
      </c>
      <c r="E316" s="7" t="n">
        <v>3</v>
      </c>
      <c r="F316" s="9" t="s">
        <v>10</v>
      </c>
    </row>
    <row r="317" customFormat="false" ht="15" hidden="false" customHeight="false" outlineLevel="0" collapsed="false">
      <c r="A317" s="7" t="n">
        <v>316</v>
      </c>
      <c r="B317" s="8" t="n">
        <v>42</v>
      </c>
      <c r="C317" s="7" t="n">
        <v>0</v>
      </c>
      <c r="D317" s="7" t="s">
        <v>15</v>
      </c>
      <c r="E317" s="7" t="n">
        <v>3</v>
      </c>
      <c r="F317" s="9" t="s">
        <v>10</v>
      </c>
    </row>
    <row r="318" customFormat="false" ht="15" hidden="false" customHeight="false" outlineLevel="0" collapsed="false">
      <c r="A318" s="7" t="n">
        <v>317</v>
      </c>
      <c r="B318" s="8" t="n">
        <v>42</v>
      </c>
      <c r="C318" s="7" t="n">
        <v>1</v>
      </c>
      <c r="D318" s="7" t="s">
        <v>6</v>
      </c>
      <c r="E318" s="7" t="n">
        <v>2</v>
      </c>
      <c r="F318" s="9" t="s">
        <v>7</v>
      </c>
    </row>
    <row r="319" customFormat="false" ht="15" hidden="false" customHeight="false" outlineLevel="0" collapsed="false">
      <c r="A319" s="7" t="n">
        <v>318</v>
      </c>
      <c r="B319" s="8" t="n">
        <v>42</v>
      </c>
      <c r="C319" s="7" t="n">
        <v>1</v>
      </c>
      <c r="D319" s="7" t="s">
        <v>6</v>
      </c>
      <c r="E319" s="7" t="n">
        <v>3</v>
      </c>
      <c r="F319" s="9" t="s">
        <v>10</v>
      </c>
    </row>
    <row r="320" customFormat="false" ht="15" hidden="false" customHeight="false" outlineLevel="0" collapsed="false">
      <c r="A320" s="7" t="n">
        <v>319</v>
      </c>
      <c r="B320" s="8" t="n">
        <v>42</v>
      </c>
      <c r="C320" s="7" t="n">
        <v>1</v>
      </c>
      <c r="D320" s="7" t="s">
        <v>6</v>
      </c>
      <c r="E320" s="7" t="n">
        <v>1</v>
      </c>
      <c r="F320" s="9" t="s">
        <v>11</v>
      </c>
    </row>
    <row r="321" customFormat="false" ht="15" hidden="false" customHeight="false" outlineLevel="0" collapsed="false">
      <c r="A321" s="7" t="n">
        <v>320</v>
      </c>
      <c r="B321" s="8" t="n">
        <v>42</v>
      </c>
      <c r="C321" s="7" t="n">
        <v>0</v>
      </c>
      <c r="D321" s="7" t="s">
        <v>15</v>
      </c>
      <c r="E321" s="7" t="n">
        <v>1</v>
      </c>
      <c r="F321" s="9" t="s">
        <v>11</v>
      </c>
    </row>
    <row r="322" customFormat="false" ht="15" hidden="false" customHeight="false" outlineLevel="0" collapsed="false">
      <c r="A322" s="7" t="n">
        <v>321</v>
      </c>
      <c r="B322" s="8" t="n">
        <v>42</v>
      </c>
      <c r="C322" s="7" t="n">
        <v>0</v>
      </c>
      <c r="D322" s="7" t="s">
        <v>15</v>
      </c>
      <c r="E322" s="7" t="n">
        <v>3</v>
      </c>
      <c r="F322" s="9" t="s">
        <v>10</v>
      </c>
    </row>
    <row r="323" customFormat="false" ht="15" hidden="false" customHeight="false" outlineLevel="0" collapsed="false">
      <c r="A323" s="7" t="n">
        <v>322</v>
      </c>
      <c r="B323" s="8" t="n">
        <v>42</v>
      </c>
      <c r="C323" s="7" t="n">
        <v>1</v>
      </c>
      <c r="D323" s="7" t="s">
        <v>6</v>
      </c>
      <c r="E323" s="7" t="n">
        <v>2</v>
      </c>
      <c r="F323" s="9" t="s">
        <v>7</v>
      </c>
    </row>
    <row r="324" customFormat="false" ht="15" hidden="false" customHeight="false" outlineLevel="0" collapsed="false">
      <c r="A324" s="7" t="n">
        <v>323</v>
      </c>
      <c r="B324" s="8" t="n">
        <v>42</v>
      </c>
      <c r="C324" s="7" t="n">
        <v>1</v>
      </c>
      <c r="D324" s="7" t="s">
        <v>6</v>
      </c>
      <c r="E324" s="7" t="n">
        <v>2</v>
      </c>
      <c r="F324" s="9" t="s">
        <v>7</v>
      </c>
    </row>
    <row r="325" customFormat="false" ht="15" hidden="false" customHeight="false" outlineLevel="0" collapsed="false">
      <c r="A325" s="7" t="n">
        <v>324</v>
      </c>
      <c r="B325" s="8" t="n">
        <v>42</v>
      </c>
      <c r="C325" s="7" t="n">
        <v>1</v>
      </c>
      <c r="D325" s="7" t="s">
        <v>6</v>
      </c>
      <c r="E325" s="7" t="n">
        <v>2</v>
      </c>
      <c r="F325" s="9" t="s">
        <v>7</v>
      </c>
    </row>
    <row r="326" customFormat="false" ht="15" hidden="false" customHeight="false" outlineLevel="0" collapsed="false">
      <c r="A326" s="7" t="n">
        <v>325</v>
      </c>
      <c r="B326" s="8" t="n">
        <v>42</v>
      </c>
      <c r="C326" s="7" t="n">
        <v>0</v>
      </c>
      <c r="D326" s="7" t="s">
        <v>15</v>
      </c>
      <c r="E326" s="7" t="n">
        <v>3</v>
      </c>
      <c r="F326" s="9" t="s">
        <v>10</v>
      </c>
    </row>
    <row r="327" customFormat="false" ht="15" hidden="false" customHeight="false" outlineLevel="0" collapsed="false">
      <c r="A327" s="7" t="n">
        <v>326</v>
      </c>
      <c r="B327" s="8" t="n">
        <v>42</v>
      </c>
      <c r="C327" s="7" t="n">
        <v>1</v>
      </c>
      <c r="D327" s="7" t="s">
        <v>6</v>
      </c>
      <c r="E327" s="7" t="n">
        <v>3</v>
      </c>
      <c r="F327" s="9" t="s">
        <v>10</v>
      </c>
    </row>
    <row r="328" customFormat="false" ht="15" hidden="false" customHeight="false" outlineLevel="0" collapsed="false">
      <c r="A328" s="7" t="n">
        <v>327</v>
      </c>
      <c r="B328" s="8" t="n">
        <v>42</v>
      </c>
      <c r="C328" s="7" t="n">
        <v>0</v>
      </c>
      <c r="D328" s="7" t="s">
        <v>15</v>
      </c>
      <c r="E328" s="7" t="n">
        <v>1</v>
      </c>
      <c r="F328" s="9" t="s">
        <v>11</v>
      </c>
    </row>
    <row r="329" customFormat="false" ht="15" hidden="false" customHeight="false" outlineLevel="0" collapsed="false">
      <c r="A329" s="7" t="n">
        <v>328</v>
      </c>
      <c r="B329" s="8" t="n">
        <v>42</v>
      </c>
      <c r="C329" s="7" t="n">
        <v>0</v>
      </c>
      <c r="D329" s="7" t="s">
        <v>15</v>
      </c>
      <c r="E329" s="7" t="n">
        <v>3</v>
      </c>
      <c r="F329" s="9" t="s">
        <v>10</v>
      </c>
    </row>
    <row r="330" customFormat="false" ht="15" hidden="false" customHeight="false" outlineLevel="0" collapsed="false">
      <c r="A330" s="7" t="n">
        <v>329</v>
      </c>
      <c r="B330" s="8" t="n">
        <v>42</v>
      </c>
      <c r="C330" s="7" t="n">
        <v>0</v>
      </c>
      <c r="D330" s="7" t="s">
        <v>15</v>
      </c>
      <c r="E330" s="7" t="n">
        <v>1</v>
      </c>
      <c r="F330" s="9" t="s">
        <v>11</v>
      </c>
    </row>
    <row r="331" customFormat="false" ht="15" hidden="false" customHeight="false" outlineLevel="0" collapsed="false">
      <c r="A331" s="7" t="n">
        <v>330</v>
      </c>
      <c r="B331" s="8" t="n">
        <v>42</v>
      </c>
      <c r="C331" s="7" t="n">
        <v>1</v>
      </c>
      <c r="D331" s="7" t="s">
        <v>6</v>
      </c>
      <c r="E331" s="7" t="n">
        <v>2</v>
      </c>
      <c r="F331" s="9" t="s">
        <v>7</v>
      </c>
    </row>
    <row r="332" customFormat="false" ht="15" hidden="false" customHeight="false" outlineLevel="0" collapsed="false">
      <c r="A332" s="7" t="n">
        <v>331</v>
      </c>
      <c r="B332" s="8" t="n">
        <v>42</v>
      </c>
      <c r="C332" s="7" t="n">
        <v>1</v>
      </c>
      <c r="D332" s="7" t="s">
        <v>6</v>
      </c>
      <c r="E332" s="7" t="n">
        <v>2</v>
      </c>
      <c r="F332" s="9" t="s">
        <v>7</v>
      </c>
    </row>
    <row r="333" customFormat="false" ht="15" hidden="false" customHeight="false" outlineLevel="0" collapsed="false">
      <c r="A333" s="7" t="n">
        <v>332</v>
      </c>
      <c r="B333" s="8" t="n">
        <v>42</v>
      </c>
      <c r="C333" s="7" t="n">
        <v>1</v>
      </c>
      <c r="D333" s="7" t="s">
        <v>6</v>
      </c>
      <c r="E333" s="7" t="n">
        <v>2</v>
      </c>
      <c r="F333" s="9" t="s">
        <v>7</v>
      </c>
    </row>
    <row r="334" customFormat="false" ht="15" hidden="false" customHeight="false" outlineLevel="0" collapsed="false">
      <c r="A334" s="7" t="n">
        <v>333</v>
      </c>
      <c r="B334" s="8" t="n">
        <v>42</v>
      </c>
      <c r="C334" s="7" t="n">
        <v>0</v>
      </c>
      <c r="D334" s="7" t="s">
        <v>15</v>
      </c>
      <c r="E334" s="7" t="n">
        <v>1</v>
      </c>
      <c r="F334" s="9" t="s">
        <v>11</v>
      </c>
    </row>
    <row r="335" customFormat="false" ht="15" hidden="false" customHeight="false" outlineLevel="0" collapsed="false">
      <c r="A335" s="7" t="n">
        <v>334</v>
      </c>
      <c r="B335" s="8" t="n">
        <v>42</v>
      </c>
      <c r="C335" s="7" t="n">
        <v>1</v>
      </c>
      <c r="D335" s="7" t="s">
        <v>6</v>
      </c>
      <c r="E335" s="7" t="n">
        <v>1</v>
      </c>
      <c r="F335" s="9" t="s">
        <v>11</v>
      </c>
    </row>
    <row r="336" customFormat="false" ht="15" hidden="false" customHeight="false" outlineLevel="0" collapsed="false">
      <c r="A336" s="7" t="n">
        <v>335</v>
      </c>
      <c r="B336" s="8" t="n">
        <v>42</v>
      </c>
      <c r="C336" s="7" t="n">
        <v>0</v>
      </c>
      <c r="D336" s="7" t="s">
        <v>15</v>
      </c>
      <c r="E336" s="7" t="n">
        <v>3</v>
      </c>
      <c r="F336" s="9" t="s">
        <v>10</v>
      </c>
    </row>
    <row r="337" customFormat="false" ht="15" hidden="false" customHeight="false" outlineLevel="0" collapsed="false">
      <c r="A337" s="7" t="n">
        <v>336</v>
      </c>
      <c r="B337" s="8" t="n">
        <v>42</v>
      </c>
      <c r="C337" s="7" t="n">
        <v>0</v>
      </c>
      <c r="D337" s="7" t="s">
        <v>15</v>
      </c>
      <c r="E337" s="7" t="n">
        <v>1</v>
      </c>
      <c r="F337" s="9" t="s">
        <v>11</v>
      </c>
    </row>
    <row r="338" customFormat="false" ht="15" hidden="false" customHeight="false" outlineLevel="0" collapsed="false">
      <c r="A338" s="7" t="n">
        <v>337</v>
      </c>
      <c r="B338" s="8" t="n">
        <v>42</v>
      </c>
      <c r="C338" s="7" t="n">
        <v>1</v>
      </c>
      <c r="D338" s="7" t="s">
        <v>6</v>
      </c>
      <c r="E338" s="7" t="n">
        <v>2</v>
      </c>
      <c r="F338" s="9" t="s">
        <v>7</v>
      </c>
    </row>
    <row r="339" customFormat="false" ht="15" hidden="false" customHeight="false" outlineLevel="0" collapsed="false">
      <c r="A339" s="7" t="n">
        <v>338</v>
      </c>
      <c r="B339" s="8" t="n">
        <v>42</v>
      </c>
      <c r="C339" s="7" t="n">
        <v>0</v>
      </c>
      <c r="D339" s="7" t="s">
        <v>15</v>
      </c>
      <c r="E339" s="7" t="n">
        <v>2</v>
      </c>
      <c r="F339" s="9" t="s">
        <v>7</v>
      </c>
    </row>
    <row r="340" customFormat="false" ht="15" hidden="false" customHeight="false" outlineLevel="0" collapsed="false">
      <c r="A340" s="7" t="n">
        <v>339</v>
      </c>
      <c r="B340" s="8" t="n">
        <v>42</v>
      </c>
      <c r="C340" s="7" t="n">
        <v>1</v>
      </c>
      <c r="D340" s="7" t="s">
        <v>6</v>
      </c>
      <c r="E340" s="7" t="n">
        <v>2</v>
      </c>
      <c r="F340" s="9" t="s">
        <v>7</v>
      </c>
    </row>
    <row r="341" customFormat="false" ht="15" hidden="false" customHeight="false" outlineLevel="0" collapsed="false">
      <c r="A341" s="7" t="n">
        <v>340</v>
      </c>
      <c r="B341" s="8" t="n">
        <v>42</v>
      </c>
      <c r="C341" s="7" t="n">
        <v>0</v>
      </c>
      <c r="D341" s="7" t="s">
        <v>15</v>
      </c>
      <c r="E341" s="7" t="n">
        <v>3</v>
      </c>
      <c r="F341" s="9" t="s">
        <v>10</v>
      </c>
    </row>
    <row r="342" customFormat="false" ht="15" hidden="false" customHeight="false" outlineLevel="0" collapsed="false">
      <c r="A342" s="7" t="n">
        <v>341</v>
      </c>
      <c r="B342" s="8" t="n">
        <v>42</v>
      </c>
      <c r="C342" s="7" t="n">
        <v>0</v>
      </c>
      <c r="D342" s="7" t="s">
        <v>15</v>
      </c>
      <c r="E342" s="7" t="n">
        <v>3</v>
      </c>
      <c r="F342" s="9" t="s">
        <v>10</v>
      </c>
    </row>
    <row r="343" customFormat="false" ht="15" hidden="false" customHeight="false" outlineLevel="0" collapsed="false">
      <c r="A343" s="7" t="n">
        <v>342</v>
      </c>
      <c r="B343" s="8" t="n">
        <v>42</v>
      </c>
      <c r="C343" s="7" t="n">
        <v>1</v>
      </c>
      <c r="D343" s="7" t="s">
        <v>6</v>
      </c>
      <c r="E343" s="7" t="n">
        <v>1</v>
      </c>
      <c r="F343" s="9" t="s">
        <v>11</v>
      </c>
    </row>
    <row r="344" customFormat="false" ht="15" hidden="false" customHeight="false" outlineLevel="0" collapsed="false">
      <c r="A344" s="7" t="n">
        <v>343</v>
      </c>
      <c r="B344" s="8" t="n">
        <v>42</v>
      </c>
      <c r="C344" s="7" t="n">
        <v>1</v>
      </c>
      <c r="D344" s="7" t="s">
        <v>6</v>
      </c>
      <c r="E344" s="7" t="n">
        <v>3</v>
      </c>
      <c r="F344" s="9" t="s">
        <v>10</v>
      </c>
    </row>
    <row r="345" customFormat="false" ht="15" hidden="false" customHeight="false" outlineLevel="0" collapsed="false">
      <c r="A345" s="7" t="n">
        <v>344</v>
      </c>
      <c r="B345" s="8" t="n">
        <v>42</v>
      </c>
      <c r="C345" s="7" t="n">
        <v>1</v>
      </c>
      <c r="D345" s="7" t="s">
        <v>6</v>
      </c>
      <c r="E345" s="7" t="n">
        <v>1</v>
      </c>
      <c r="F345" s="9" t="s">
        <v>11</v>
      </c>
    </row>
    <row r="346" customFormat="false" ht="15" hidden="false" customHeight="false" outlineLevel="0" collapsed="false">
      <c r="A346" s="7" t="n">
        <v>345</v>
      </c>
      <c r="B346" s="8" t="n">
        <v>42</v>
      </c>
      <c r="C346" s="7" t="n">
        <v>1</v>
      </c>
      <c r="D346" s="7" t="s">
        <v>6</v>
      </c>
      <c r="E346" s="7" t="n">
        <v>3</v>
      </c>
      <c r="F346" s="9" t="s">
        <v>10</v>
      </c>
    </row>
    <row r="347" customFormat="false" ht="15" hidden="false" customHeight="false" outlineLevel="0" collapsed="false">
      <c r="A347" s="7" t="n">
        <v>346</v>
      </c>
      <c r="B347" s="8" t="n">
        <v>42</v>
      </c>
      <c r="C347" s="7" t="n">
        <v>0</v>
      </c>
      <c r="D347" s="7" t="s">
        <v>15</v>
      </c>
      <c r="E347" s="7" t="n">
        <v>1</v>
      </c>
      <c r="F347" s="9" t="s">
        <v>11</v>
      </c>
    </row>
    <row r="348" customFormat="false" ht="15" hidden="false" customHeight="false" outlineLevel="0" collapsed="false">
      <c r="A348" s="7" t="n">
        <v>347</v>
      </c>
      <c r="B348" s="8" t="n">
        <v>42</v>
      </c>
      <c r="C348" s="7" t="n">
        <v>0</v>
      </c>
      <c r="D348" s="7" t="s">
        <v>15</v>
      </c>
      <c r="E348" s="7" t="n">
        <v>1</v>
      </c>
      <c r="F348" s="9" t="s">
        <v>11</v>
      </c>
    </row>
    <row r="349" customFormat="false" ht="15" hidden="false" customHeight="false" outlineLevel="0" collapsed="false">
      <c r="A349" s="7" t="n">
        <v>348</v>
      </c>
      <c r="B349" s="8" t="n">
        <v>43</v>
      </c>
      <c r="C349" s="7" t="n">
        <v>1</v>
      </c>
      <c r="D349" s="7" t="s">
        <v>6</v>
      </c>
      <c r="E349" s="7" t="n">
        <v>1</v>
      </c>
      <c r="F349" s="9" t="s">
        <v>11</v>
      </c>
    </row>
    <row r="350" customFormat="false" ht="15" hidden="false" customHeight="false" outlineLevel="0" collapsed="false">
      <c r="A350" s="7" t="n">
        <v>349</v>
      </c>
      <c r="B350" s="8" t="n">
        <v>43</v>
      </c>
      <c r="C350" s="7" t="n">
        <v>1</v>
      </c>
      <c r="D350" s="7" t="s">
        <v>6</v>
      </c>
      <c r="E350" s="7" t="n">
        <v>1</v>
      </c>
      <c r="F350" s="9" t="s">
        <v>11</v>
      </c>
    </row>
    <row r="351" customFormat="false" ht="15" hidden="false" customHeight="false" outlineLevel="0" collapsed="false">
      <c r="A351" s="7" t="n">
        <v>350</v>
      </c>
      <c r="B351" s="8" t="n">
        <v>43</v>
      </c>
      <c r="C351" s="7" t="n">
        <v>1</v>
      </c>
      <c r="D351" s="7" t="s">
        <v>6</v>
      </c>
      <c r="E351" s="7" t="n">
        <v>2</v>
      </c>
      <c r="F351" s="9" t="s">
        <v>7</v>
      </c>
    </row>
    <row r="352" customFormat="false" ht="15" hidden="false" customHeight="false" outlineLevel="0" collapsed="false">
      <c r="A352" s="7" t="n">
        <v>351</v>
      </c>
      <c r="B352" s="8" t="n">
        <v>43</v>
      </c>
      <c r="C352" s="7" t="n">
        <v>1</v>
      </c>
      <c r="D352" s="7" t="s">
        <v>6</v>
      </c>
      <c r="E352" s="7" t="n">
        <v>1</v>
      </c>
      <c r="F352" s="9" t="s">
        <v>11</v>
      </c>
    </row>
    <row r="353" customFormat="false" ht="15" hidden="false" customHeight="false" outlineLevel="0" collapsed="false">
      <c r="A353" s="7" t="n">
        <v>352</v>
      </c>
      <c r="B353" s="8" t="n">
        <v>43</v>
      </c>
      <c r="C353" s="7" t="n">
        <v>1</v>
      </c>
      <c r="D353" s="7" t="s">
        <v>6</v>
      </c>
      <c r="E353" s="7" t="n">
        <v>2</v>
      </c>
      <c r="F353" s="9" t="s">
        <v>7</v>
      </c>
    </row>
    <row r="354" customFormat="false" ht="15" hidden="false" customHeight="false" outlineLevel="0" collapsed="false">
      <c r="A354" s="7" t="n">
        <v>353</v>
      </c>
      <c r="B354" s="8" t="n">
        <v>43</v>
      </c>
      <c r="C354" s="7" t="n">
        <v>1</v>
      </c>
      <c r="D354" s="7" t="s">
        <v>6</v>
      </c>
      <c r="E354" s="7" t="n">
        <v>1</v>
      </c>
      <c r="F354" s="9" t="s">
        <v>11</v>
      </c>
    </row>
    <row r="355" customFormat="false" ht="15" hidden="false" customHeight="false" outlineLevel="0" collapsed="false">
      <c r="A355" s="7" t="n">
        <v>354</v>
      </c>
      <c r="B355" s="8" t="n">
        <v>43</v>
      </c>
      <c r="C355" s="7" t="n">
        <v>0</v>
      </c>
      <c r="D355" s="7" t="s">
        <v>15</v>
      </c>
      <c r="E355" s="7" t="n">
        <v>3</v>
      </c>
      <c r="F355" s="9" t="s">
        <v>10</v>
      </c>
    </row>
    <row r="356" customFormat="false" ht="15" hidden="false" customHeight="false" outlineLevel="0" collapsed="false">
      <c r="A356" s="7" t="n">
        <v>355</v>
      </c>
      <c r="B356" s="8" t="n">
        <v>43</v>
      </c>
      <c r="C356" s="7" t="n">
        <v>1</v>
      </c>
      <c r="D356" s="7" t="s">
        <v>6</v>
      </c>
      <c r="E356" s="7" t="n">
        <v>3</v>
      </c>
      <c r="F356" s="9" t="s">
        <v>10</v>
      </c>
    </row>
    <row r="357" customFormat="false" ht="15" hidden="false" customHeight="false" outlineLevel="0" collapsed="false">
      <c r="A357" s="7" t="n">
        <v>356</v>
      </c>
      <c r="B357" s="8" t="n">
        <v>43</v>
      </c>
      <c r="C357" s="7" t="n">
        <v>1</v>
      </c>
      <c r="D357" s="7" t="s">
        <v>6</v>
      </c>
      <c r="E357" s="7" t="n">
        <v>2</v>
      </c>
      <c r="F357" s="9" t="s">
        <v>7</v>
      </c>
    </row>
    <row r="358" customFormat="false" ht="15" hidden="false" customHeight="false" outlineLevel="0" collapsed="false">
      <c r="A358" s="7" t="n">
        <v>357</v>
      </c>
      <c r="B358" s="8" t="n">
        <v>43</v>
      </c>
      <c r="C358" s="7" t="n">
        <v>1</v>
      </c>
      <c r="D358" s="7" t="s">
        <v>6</v>
      </c>
      <c r="E358" s="7" t="n">
        <v>2</v>
      </c>
      <c r="F358" s="9" t="s">
        <v>7</v>
      </c>
    </row>
    <row r="359" customFormat="false" ht="15" hidden="false" customHeight="false" outlineLevel="0" collapsed="false">
      <c r="A359" s="7" t="n">
        <v>358</v>
      </c>
      <c r="B359" s="8" t="n">
        <v>43</v>
      </c>
      <c r="C359" s="7" t="n">
        <v>1</v>
      </c>
      <c r="D359" s="7" t="s">
        <v>6</v>
      </c>
      <c r="E359" s="7" t="n">
        <v>3</v>
      </c>
      <c r="F359" s="9" t="s">
        <v>10</v>
      </c>
    </row>
    <row r="360" customFormat="false" ht="15" hidden="false" customHeight="false" outlineLevel="0" collapsed="false">
      <c r="A360" s="7" t="n">
        <v>359</v>
      </c>
      <c r="B360" s="8" t="n">
        <v>43</v>
      </c>
      <c r="C360" s="7" t="n">
        <v>0</v>
      </c>
      <c r="D360" s="7" t="s">
        <v>15</v>
      </c>
      <c r="E360" s="7" t="n">
        <v>1</v>
      </c>
      <c r="F360" s="9" t="s">
        <v>11</v>
      </c>
    </row>
    <row r="361" customFormat="false" ht="15" hidden="false" customHeight="false" outlineLevel="0" collapsed="false">
      <c r="A361" s="7" t="n">
        <v>360</v>
      </c>
      <c r="B361" s="8" t="n">
        <v>43</v>
      </c>
      <c r="C361" s="7" t="n">
        <v>0</v>
      </c>
      <c r="D361" s="7" t="s">
        <v>15</v>
      </c>
      <c r="E361" s="7" t="n">
        <v>1</v>
      </c>
      <c r="F361" s="9" t="s">
        <v>11</v>
      </c>
    </row>
    <row r="362" customFormat="false" ht="15" hidden="false" customHeight="false" outlineLevel="0" collapsed="false">
      <c r="A362" s="7" t="n">
        <v>361</v>
      </c>
      <c r="B362" s="8" t="n">
        <v>43</v>
      </c>
      <c r="C362" s="7" t="n">
        <v>1</v>
      </c>
      <c r="D362" s="7" t="s">
        <v>6</v>
      </c>
      <c r="E362" s="7" t="n">
        <v>3</v>
      </c>
      <c r="F362" s="9" t="s">
        <v>10</v>
      </c>
    </row>
    <row r="363" customFormat="false" ht="15" hidden="false" customHeight="false" outlineLevel="0" collapsed="false">
      <c r="A363" s="7" t="n">
        <v>362</v>
      </c>
      <c r="B363" s="8" t="n">
        <v>43</v>
      </c>
      <c r="C363" s="7" t="n">
        <v>1</v>
      </c>
      <c r="D363" s="7" t="s">
        <v>6</v>
      </c>
      <c r="E363" s="7" t="n">
        <v>2</v>
      </c>
      <c r="F363" s="9" t="s">
        <v>7</v>
      </c>
    </row>
    <row r="364" customFormat="false" ht="15" hidden="false" customHeight="false" outlineLevel="0" collapsed="false">
      <c r="A364" s="7" t="n">
        <v>363</v>
      </c>
      <c r="B364" s="8" t="n">
        <v>43</v>
      </c>
      <c r="C364" s="7" t="n">
        <v>1</v>
      </c>
      <c r="D364" s="7" t="s">
        <v>6</v>
      </c>
      <c r="E364" s="7" t="n">
        <v>2</v>
      </c>
      <c r="F364" s="9" t="s">
        <v>7</v>
      </c>
    </row>
    <row r="365" customFormat="false" ht="15" hidden="false" customHeight="false" outlineLevel="0" collapsed="false">
      <c r="A365" s="7" t="n">
        <v>364</v>
      </c>
      <c r="B365" s="8" t="n">
        <v>43</v>
      </c>
      <c r="C365" s="7" t="n">
        <v>1</v>
      </c>
      <c r="D365" s="7" t="s">
        <v>6</v>
      </c>
      <c r="E365" s="7" t="n">
        <v>3</v>
      </c>
      <c r="F365" s="9" t="s">
        <v>10</v>
      </c>
    </row>
    <row r="366" customFormat="false" ht="15" hidden="false" customHeight="false" outlineLevel="0" collapsed="false">
      <c r="A366" s="7" t="n">
        <v>365</v>
      </c>
      <c r="B366" s="8" t="n">
        <v>43</v>
      </c>
      <c r="C366" s="7" t="n">
        <v>0</v>
      </c>
      <c r="D366" s="7" t="s">
        <v>15</v>
      </c>
      <c r="E366" s="7" t="n">
        <v>3</v>
      </c>
      <c r="F366" s="9" t="s">
        <v>10</v>
      </c>
    </row>
    <row r="367" customFormat="false" ht="15" hidden="false" customHeight="false" outlineLevel="0" collapsed="false">
      <c r="A367" s="7" t="n">
        <v>366</v>
      </c>
      <c r="B367" s="8" t="n">
        <v>44</v>
      </c>
      <c r="C367" s="7" t="n">
        <v>0</v>
      </c>
      <c r="D367" s="7" t="s">
        <v>15</v>
      </c>
      <c r="E367" s="7" t="n">
        <v>3</v>
      </c>
      <c r="F367" s="9" t="s">
        <v>10</v>
      </c>
    </row>
    <row r="368" customFormat="false" ht="15" hidden="false" customHeight="false" outlineLevel="0" collapsed="false">
      <c r="A368" s="7" t="n">
        <v>367</v>
      </c>
      <c r="B368" s="8" t="n">
        <v>44</v>
      </c>
      <c r="C368" s="7" t="n">
        <v>0</v>
      </c>
      <c r="D368" s="7" t="s">
        <v>15</v>
      </c>
      <c r="E368" s="7" t="n">
        <v>3</v>
      </c>
      <c r="F368" s="9" t="s">
        <v>10</v>
      </c>
    </row>
    <row r="369" customFormat="false" ht="15" hidden="false" customHeight="false" outlineLevel="0" collapsed="false">
      <c r="A369" s="7" t="n">
        <v>368</v>
      </c>
      <c r="B369" s="8" t="n">
        <v>44</v>
      </c>
      <c r="C369" s="7" t="n">
        <v>1</v>
      </c>
      <c r="D369" s="7" t="s">
        <v>6</v>
      </c>
      <c r="E369" s="7" t="n">
        <v>1</v>
      </c>
      <c r="F369" s="9" t="s">
        <v>11</v>
      </c>
    </row>
    <row r="370" customFormat="false" ht="15" hidden="false" customHeight="false" outlineLevel="0" collapsed="false">
      <c r="A370" s="7" t="n">
        <v>369</v>
      </c>
      <c r="B370" s="8" t="n">
        <v>44</v>
      </c>
      <c r="C370" s="7" t="n">
        <v>0</v>
      </c>
      <c r="D370" s="7" t="s">
        <v>15</v>
      </c>
      <c r="E370" s="7" t="n">
        <v>1</v>
      </c>
      <c r="F370" s="9" t="s">
        <v>11</v>
      </c>
    </row>
    <row r="371" customFormat="false" ht="15" hidden="false" customHeight="false" outlineLevel="0" collapsed="false">
      <c r="A371" s="7" t="n">
        <v>370</v>
      </c>
      <c r="B371" s="8" t="n">
        <v>44</v>
      </c>
      <c r="C371" s="7" t="n">
        <v>0</v>
      </c>
      <c r="D371" s="7" t="s">
        <v>15</v>
      </c>
      <c r="E371" s="7" t="n">
        <v>3</v>
      </c>
      <c r="F371" s="9" t="s">
        <v>10</v>
      </c>
    </row>
    <row r="372" customFormat="false" ht="15" hidden="false" customHeight="false" outlineLevel="0" collapsed="false">
      <c r="A372" s="7" t="n">
        <v>371</v>
      </c>
      <c r="B372" s="8" t="n">
        <v>44</v>
      </c>
      <c r="C372" s="7" t="n">
        <v>1</v>
      </c>
      <c r="D372" s="7" t="s">
        <v>6</v>
      </c>
      <c r="E372" s="7" t="n">
        <v>1</v>
      </c>
      <c r="F372" s="9" t="s">
        <v>11</v>
      </c>
    </row>
    <row r="373" customFormat="false" ht="15" hidden="false" customHeight="false" outlineLevel="0" collapsed="false">
      <c r="A373" s="7" t="n">
        <v>372</v>
      </c>
      <c r="B373" s="8" t="n">
        <v>44</v>
      </c>
      <c r="C373" s="7" t="n">
        <v>0</v>
      </c>
      <c r="D373" s="7" t="s">
        <v>15</v>
      </c>
      <c r="E373" s="7" t="n">
        <v>3</v>
      </c>
      <c r="F373" s="9" t="s">
        <v>10</v>
      </c>
    </row>
    <row r="374" customFormat="false" ht="15" hidden="false" customHeight="false" outlineLevel="0" collapsed="false">
      <c r="A374" s="7" t="n">
        <v>373</v>
      </c>
      <c r="B374" s="8" t="n">
        <v>44</v>
      </c>
      <c r="C374" s="7" t="n">
        <v>1</v>
      </c>
      <c r="D374" s="7" t="s">
        <v>6</v>
      </c>
      <c r="E374" s="7" t="n">
        <v>3</v>
      </c>
      <c r="F374" s="9" t="s">
        <v>10</v>
      </c>
    </row>
    <row r="375" customFormat="false" ht="15" hidden="false" customHeight="false" outlineLevel="0" collapsed="false">
      <c r="A375" s="7" t="n">
        <v>374</v>
      </c>
      <c r="B375" s="8" t="n">
        <v>44</v>
      </c>
      <c r="C375" s="7" t="n">
        <v>0</v>
      </c>
      <c r="D375" s="7" t="s">
        <v>15</v>
      </c>
      <c r="E375" s="7" t="n">
        <v>2</v>
      </c>
      <c r="F375" s="9" t="s">
        <v>7</v>
      </c>
    </row>
    <row r="376" customFormat="false" ht="15" hidden="false" customHeight="false" outlineLevel="0" collapsed="false">
      <c r="A376" s="7" t="n">
        <v>375</v>
      </c>
      <c r="B376" s="8" t="n">
        <v>44</v>
      </c>
      <c r="C376" s="7" t="n">
        <v>1</v>
      </c>
      <c r="D376" s="7" t="s">
        <v>6</v>
      </c>
      <c r="E376" s="7" t="n">
        <v>2</v>
      </c>
      <c r="F376" s="9" t="s">
        <v>7</v>
      </c>
    </row>
    <row r="377" customFormat="false" ht="15" hidden="false" customHeight="false" outlineLevel="0" collapsed="false">
      <c r="A377" s="7" t="n">
        <v>376</v>
      </c>
      <c r="B377" s="8" t="n">
        <v>44</v>
      </c>
      <c r="C377" s="7" t="n">
        <v>0</v>
      </c>
      <c r="D377" s="7" t="s">
        <v>15</v>
      </c>
      <c r="E377" s="7" t="n">
        <v>1</v>
      </c>
      <c r="F377" s="9" t="s">
        <v>11</v>
      </c>
    </row>
    <row r="378" customFormat="false" ht="15" hidden="false" customHeight="false" outlineLevel="0" collapsed="false">
      <c r="A378" s="7" t="n">
        <v>377</v>
      </c>
      <c r="B378" s="8" t="n">
        <v>44</v>
      </c>
      <c r="C378" s="7" t="n">
        <v>1</v>
      </c>
      <c r="D378" s="7" t="s">
        <v>6</v>
      </c>
      <c r="E378" s="7" t="n">
        <v>2</v>
      </c>
      <c r="F378" s="9" t="s">
        <v>7</v>
      </c>
    </row>
    <row r="379" customFormat="false" ht="15" hidden="false" customHeight="false" outlineLevel="0" collapsed="false">
      <c r="A379" s="7" t="n">
        <v>378</v>
      </c>
      <c r="B379" s="8" t="n">
        <v>44</v>
      </c>
      <c r="C379" s="7" t="n">
        <v>1</v>
      </c>
      <c r="D379" s="7" t="s">
        <v>6</v>
      </c>
      <c r="E379" s="7" t="n">
        <v>1</v>
      </c>
      <c r="F379" s="9" t="s">
        <v>11</v>
      </c>
    </row>
    <row r="380" customFormat="false" ht="15" hidden="false" customHeight="false" outlineLevel="0" collapsed="false">
      <c r="A380" s="7" t="n">
        <v>379</v>
      </c>
      <c r="B380" s="8" t="n">
        <v>45</v>
      </c>
      <c r="C380" s="7" t="n">
        <v>0</v>
      </c>
      <c r="D380" s="7" t="s">
        <v>15</v>
      </c>
      <c r="E380" s="7" t="n">
        <v>3</v>
      </c>
      <c r="F380" s="9" t="s">
        <v>10</v>
      </c>
    </row>
    <row r="381" customFormat="false" ht="15" hidden="false" customHeight="false" outlineLevel="0" collapsed="false">
      <c r="A381" s="7" t="n">
        <v>380</v>
      </c>
      <c r="B381" s="8" t="n">
        <v>45</v>
      </c>
      <c r="C381" s="7" t="n">
        <v>1</v>
      </c>
      <c r="D381" s="7" t="s">
        <v>6</v>
      </c>
      <c r="E381" s="7" t="n">
        <v>1</v>
      </c>
      <c r="F381" s="9" t="s">
        <v>11</v>
      </c>
    </row>
    <row r="382" customFormat="false" ht="15" hidden="false" customHeight="false" outlineLevel="0" collapsed="false">
      <c r="A382" s="7" t="n">
        <v>381</v>
      </c>
      <c r="B382" s="8" t="n">
        <v>45</v>
      </c>
      <c r="C382" s="7" t="n">
        <v>1</v>
      </c>
      <c r="D382" s="7" t="s">
        <v>6</v>
      </c>
      <c r="E382" s="7" t="n">
        <v>1</v>
      </c>
      <c r="F382" s="9" t="s">
        <v>11</v>
      </c>
    </row>
    <row r="383" customFormat="false" ht="15" hidden="false" customHeight="false" outlineLevel="0" collapsed="false">
      <c r="A383" s="7" t="n">
        <v>382</v>
      </c>
      <c r="B383" s="8" t="n">
        <v>45</v>
      </c>
      <c r="C383" s="7" t="n">
        <v>0</v>
      </c>
      <c r="D383" s="7" t="s">
        <v>15</v>
      </c>
      <c r="E383" s="7" t="n">
        <v>2</v>
      </c>
      <c r="F383" s="9" t="s">
        <v>7</v>
      </c>
    </row>
    <row r="384" customFormat="false" ht="15" hidden="false" customHeight="false" outlineLevel="0" collapsed="false">
      <c r="A384" s="7" t="n">
        <v>383</v>
      </c>
      <c r="B384" s="8" t="n">
        <v>45</v>
      </c>
      <c r="C384" s="7" t="n">
        <v>0</v>
      </c>
      <c r="D384" s="7" t="s">
        <v>15</v>
      </c>
      <c r="E384" s="7" t="n">
        <v>1</v>
      </c>
      <c r="F384" s="9" t="s">
        <v>11</v>
      </c>
    </row>
    <row r="385" customFormat="false" ht="15" hidden="false" customHeight="false" outlineLevel="0" collapsed="false">
      <c r="A385" s="7" t="n">
        <v>384</v>
      </c>
      <c r="B385" s="8" t="n">
        <v>45</v>
      </c>
      <c r="C385" s="7" t="n">
        <v>0</v>
      </c>
      <c r="D385" s="7" t="s">
        <v>15</v>
      </c>
      <c r="E385" s="7" t="n">
        <v>2</v>
      </c>
      <c r="F385" s="9" t="s">
        <v>7</v>
      </c>
    </row>
    <row r="386" customFormat="false" ht="15" hidden="false" customHeight="false" outlineLevel="0" collapsed="false">
      <c r="A386" s="7" t="n">
        <v>385</v>
      </c>
      <c r="B386" s="8" t="n">
        <v>45</v>
      </c>
      <c r="C386" s="7" t="n">
        <v>1</v>
      </c>
      <c r="D386" s="7" t="s">
        <v>6</v>
      </c>
      <c r="E386" s="7" t="n">
        <v>1</v>
      </c>
      <c r="F386" s="9" t="s">
        <v>11</v>
      </c>
    </row>
    <row r="387" customFormat="false" ht="15" hidden="false" customHeight="false" outlineLevel="0" collapsed="false">
      <c r="A387" s="7" t="n">
        <v>386</v>
      </c>
      <c r="B387" s="8" t="n">
        <v>45</v>
      </c>
      <c r="C387" s="7" t="n">
        <v>0</v>
      </c>
      <c r="D387" s="7" t="s">
        <v>15</v>
      </c>
      <c r="E387" s="7" t="n">
        <v>2</v>
      </c>
      <c r="F387" s="9" t="s">
        <v>7</v>
      </c>
    </row>
    <row r="388" customFormat="false" ht="15" hidden="false" customHeight="false" outlineLevel="0" collapsed="false">
      <c r="A388" s="7" t="n">
        <v>387</v>
      </c>
      <c r="B388" s="8" t="n">
        <v>45</v>
      </c>
      <c r="C388" s="7" t="n">
        <v>1</v>
      </c>
      <c r="D388" s="7" t="s">
        <v>6</v>
      </c>
      <c r="E388" s="7" t="n">
        <v>1</v>
      </c>
      <c r="F388" s="9" t="s">
        <v>11</v>
      </c>
    </row>
    <row r="389" customFormat="false" ht="15" hidden="false" customHeight="false" outlineLevel="0" collapsed="false">
      <c r="A389" s="7" t="n">
        <v>388</v>
      </c>
      <c r="B389" s="8" t="n">
        <v>45</v>
      </c>
      <c r="C389" s="7" t="n">
        <v>1</v>
      </c>
      <c r="D389" s="7" t="s">
        <v>6</v>
      </c>
      <c r="E389" s="7" t="n">
        <v>2</v>
      </c>
      <c r="F389" s="9" t="s">
        <v>7</v>
      </c>
    </row>
    <row r="390" customFormat="false" ht="15" hidden="false" customHeight="false" outlineLevel="0" collapsed="false">
      <c r="A390" s="7" t="n">
        <v>389</v>
      </c>
      <c r="B390" s="8" t="n">
        <v>45</v>
      </c>
      <c r="C390" s="7" t="n">
        <v>1</v>
      </c>
      <c r="D390" s="7" t="s">
        <v>6</v>
      </c>
      <c r="E390" s="7" t="n">
        <v>3</v>
      </c>
      <c r="F390" s="9" t="s">
        <v>10</v>
      </c>
    </row>
    <row r="391" customFormat="false" ht="15" hidden="false" customHeight="false" outlineLevel="0" collapsed="false">
      <c r="A391" s="7" t="n">
        <v>390</v>
      </c>
      <c r="B391" s="8" t="n">
        <v>45</v>
      </c>
      <c r="C391" s="7" t="n">
        <v>0</v>
      </c>
      <c r="D391" s="7" t="s">
        <v>15</v>
      </c>
      <c r="E391" s="7" t="n">
        <v>1</v>
      </c>
      <c r="F391" s="9" t="s">
        <v>11</v>
      </c>
    </row>
    <row r="392" customFormat="false" ht="15" hidden="false" customHeight="false" outlineLevel="0" collapsed="false">
      <c r="A392" s="7" t="n">
        <v>391</v>
      </c>
      <c r="B392" s="8" t="n">
        <v>45</v>
      </c>
      <c r="C392" s="7" t="n">
        <v>1</v>
      </c>
      <c r="D392" s="7" t="s">
        <v>6</v>
      </c>
      <c r="E392" s="7" t="n">
        <v>2</v>
      </c>
      <c r="F392" s="9" t="s">
        <v>7</v>
      </c>
    </row>
    <row r="393" customFormat="false" ht="15" hidden="false" customHeight="false" outlineLevel="0" collapsed="false">
      <c r="A393" s="7" t="n">
        <v>392</v>
      </c>
      <c r="B393" s="8" t="n">
        <v>45</v>
      </c>
      <c r="C393" s="7" t="n">
        <v>1</v>
      </c>
      <c r="D393" s="7" t="s">
        <v>6</v>
      </c>
      <c r="E393" s="7" t="n">
        <v>3</v>
      </c>
      <c r="F393" s="9" t="s">
        <v>10</v>
      </c>
    </row>
    <row r="394" customFormat="false" ht="15" hidden="false" customHeight="false" outlineLevel="0" collapsed="false">
      <c r="A394" s="7" t="n">
        <v>393</v>
      </c>
      <c r="B394" s="8" t="n">
        <v>45</v>
      </c>
      <c r="C394" s="7" t="n">
        <v>0</v>
      </c>
      <c r="D394" s="7" t="s">
        <v>15</v>
      </c>
      <c r="E394" s="7" t="n">
        <v>3</v>
      </c>
      <c r="F394" s="9" t="s">
        <v>10</v>
      </c>
    </row>
    <row r="395" customFormat="false" ht="15" hidden="false" customHeight="false" outlineLevel="0" collapsed="false">
      <c r="A395" s="7" t="n">
        <v>394</v>
      </c>
      <c r="B395" s="8" t="n">
        <v>45</v>
      </c>
      <c r="C395" s="7" t="n">
        <v>0</v>
      </c>
      <c r="D395" s="7" t="s">
        <v>15</v>
      </c>
      <c r="E395" s="7" t="n">
        <v>1</v>
      </c>
      <c r="F395" s="9" t="s">
        <v>11</v>
      </c>
    </row>
    <row r="396" customFormat="false" ht="15" hidden="false" customHeight="false" outlineLevel="0" collapsed="false">
      <c r="A396" s="7" t="n">
        <v>395</v>
      </c>
      <c r="B396" s="8" t="n">
        <v>45</v>
      </c>
      <c r="C396" s="7" t="n">
        <v>0</v>
      </c>
      <c r="D396" s="7" t="s">
        <v>15</v>
      </c>
      <c r="E396" s="7" t="n">
        <v>1</v>
      </c>
      <c r="F396" s="9" t="s">
        <v>11</v>
      </c>
    </row>
    <row r="397" customFormat="false" ht="15" hidden="false" customHeight="false" outlineLevel="0" collapsed="false">
      <c r="A397" s="7" t="n">
        <v>396</v>
      </c>
      <c r="B397" s="8" t="n">
        <v>45</v>
      </c>
      <c r="C397" s="7" t="n">
        <v>1</v>
      </c>
      <c r="D397" s="7" t="s">
        <v>6</v>
      </c>
      <c r="E397" s="7" t="n">
        <v>1</v>
      </c>
      <c r="F397" s="9" t="s">
        <v>11</v>
      </c>
    </row>
    <row r="398" customFormat="false" ht="15" hidden="false" customHeight="false" outlineLevel="0" collapsed="false">
      <c r="A398" s="7" t="n">
        <v>397</v>
      </c>
      <c r="B398" s="8" t="n">
        <v>45</v>
      </c>
      <c r="C398" s="7" t="n">
        <v>1</v>
      </c>
      <c r="D398" s="7" t="s">
        <v>6</v>
      </c>
      <c r="E398" s="7" t="n">
        <v>3</v>
      </c>
      <c r="F398" s="9" t="s">
        <v>10</v>
      </c>
    </row>
    <row r="399" customFormat="false" ht="15" hidden="false" customHeight="false" outlineLevel="0" collapsed="false">
      <c r="A399" s="7" t="n">
        <v>398</v>
      </c>
      <c r="B399" s="8" t="n">
        <v>45</v>
      </c>
      <c r="C399" s="7" t="n">
        <v>1</v>
      </c>
      <c r="D399" s="7" t="s">
        <v>6</v>
      </c>
      <c r="E399" s="7" t="n">
        <v>1</v>
      </c>
      <c r="F399" s="9" t="s">
        <v>11</v>
      </c>
    </row>
    <row r="400" customFormat="false" ht="15" hidden="false" customHeight="false" outlineLevel="0" collapsed="false">
      <c r="A400" s="7" t="n">
        <v>399</v>
      </c>
      <c r="B400" s="8" t="n">
        <v>45</v>
      </c>
      <c r="C400" s="7" t="n">
        <v>0</v>
      </c>
      <c r="D400" s="7" t="s">
        <v>15</v>
      </c>
      <c r="E400" s="7" t="n">
        <v>2</v>
      </c>
      <c r="F400" s="9" t="s">
        <v>7</v>
      </c>
    </row>
    <row r="401" customFormat="false" ht="15" hidden="false" customHeight="false" outlineLevel="0" collapsed="false">
      <c r="A401" s="7" t="n">
        <v>400</v>
      </c>
      <c r="B401" s="8" t="n">
        <v>46</v>
      </c>
      <c r="C401" s="7" t="n">
        <v>0</v>
      </c>
      <c r="D401" s="7" t="s">
        <v>15</v>
      </c>
      <c r="E401" s="7" t="n">
        <v>1</v>
      </c>
      <c r="F401" s="9" t="s">
        <v>11</v>
      </c>
    </row>
    <row r="402" customFormat="false" ht="15" hidden="false" customHeight="false" outlineLevel="0" collapsed="false">
      <c r="A402" s="7" t="n">
        <v>401</v>
      </c>
      <c r="B402" s="8" t="n">
        <v>46</v>
      </c>
      <c r="C402" s="7" t="n">
        <v>0</v>
      </c>
      <c r="D402" s="7" t="s">
        <v>15</v>
      </c>
      <c r="E402" s="7" t="n">
        <v>3</v>
      </c>
      <c r="F402" s="9" t="s">
        <v>10</v>
      </c>
    </row>
    <row r="403" customFormat="false" ht="15" hidden="false" customHeight="false" outlineLevel="0" collapsed="false">
      <c r="A403" s="7" t="n">
        <v>402</v>
      </c>
      <c r="B403" s="8" t="n">
        <v>46</v>
      </c>
      <c r="C403" s="7" t="n">
        <v>1</v>
      </c>
      <c r="D403" s="7" t="s">
        <v>6</v>
      </c>
      <c r="E403" s="7" t="n">
        <v>2</v>
      </c>
      <c r="F403" s="9" t="s">
        <v>7</v>
      </c>
    </row>
    <row r="404" customFormat="false" ht="15" hidden="false" customHeight="false" outlineLevel="0" collapsed="false">
      <c r="A404" s="7" t="n">
        <v>403</v>
      </c>
      <c r="B404" s="8" t="n">
        <v>46</v>
      </c>
      <c r="C404" s="7" t="n">
        <v>0</v>
      </c>
      <c r="D404" s="7" t="s">
        <v>15</v>
      </c>
      <c r="E404" s="7" t="n">
        <v>2</v>
      </c>
      <c r="F404" s="9" t="s">
        <v>7</v>
      </c>
    </row>
    <row r="405" customFormat="false" ht="15" hidden="false" customHeight="false" outlineLevel="0" collapsed="false">
      <c r="A405" s="7" t="n">
        <v>404</v>
      </c>
      <c r="B405" s="8" t="n">
        <v>46</v>
      </c>
      <c r="C405" s="7" t="n">
        <v>1</v>
      </c>
      <c r="D405" s="7" t="s">
        <v>6</v>
      </c>
      <c r="E405" s="7" t="n">
        <v>2</v>
      </c>
      <c r="F405" s="9" t="s">
        <v>7</v>
      </c>
    </row>
    <row r="406" customFormat="false" ht="15" hidden="false" customHeight="false" outlineLevel="0" collapsed="false">
      <c r="A406" s="7" t="n">
        <v>405</v>
      </c>
      <c r="B406" s="8" t="n">
        <v>46</v>
      </c>
      <c r="C406" s="7" t="n">
        <v>1</v>
      </c>
      <c r="D406" s="7" t="s">
        <v>6</v>
      </c>
      <c r="E406" s="7" t="n">
        <v>3</v>
      </c>
      <c r="F406" s="9" t="s">
        <v>10</v>
      </c>
    </row>
    <row r="407" customFormat="false" ht="15" hidden="false" customHeight="false" outlineLevel="0" collapsed="false">
      <c r="A407" s="7" t="n">
        <v>406</v>
      </c>
      <c r="B407" s="8" t="n">
        <v>46</v>
      </c>
      <c r="C407" s="7" t="n">
        <v>1</v>
      </c>
      <c r="D407" s="7" t="s">
        <v>6</v>
      </c>
      <c r="E407" s="7" t="n">
        <v>3</v>
      </c>
      <c r="F407" s="9" t="s">
        <v>10</v>
      </c>
    </row>
    <row r="408" customFormat="false" ht="15" hidden="false" customHeight="false" outlineLevel="0" collapsed="false">
      <c r="A408" s="7" t="n">
        <v>407</v>
      </c>
      <c r="B408" s="8" t="n">
        <v>46</v>
      </c>
      <c r="C408" s="7" t="n">
        <v>1</v>
      </c>
      <c r="D408" s="7" t="s">
        <v>6</v>
      </c>
      <c r="E408" s="7" t="n">
        <v>3</v>
      </c>
      <c r="F408" s="9" t="s">
        <v>10</v>
      </c>
    </row>
    <row r="409" customFormat="false" ht="15" hidden="false" customHeight="false" outlineLevel="0" collapsed="false">
      <c r="A409" s="7" t="n">
        <v>408</v>
      </c>
      <c r="B409" s="8" t="n">
        <v>46</v>
      </c>
      <c r="C409" s="7" t="n">
        <v>1</v>
      </c>
      <c r="D409" s="7" t="s">
        <v>6</v>
      </c>
      <c r="E409" s="7" t="n">
        <v>3</v>
      </c>
      <c r="F409" s="9" t="s">
        <v>10</v>
      </c>
    </row>
    <row r="410" customFormat="false" ht="15" hidden="false" customHeight="false" outlineLevel="0" collapsed="false">
      <c r="A410" s="7" t="n">
        <v>409</v>
      </c>
      <c r="B410" s="8" t="n">
        <v>46</v>
      </c>
      <c r="C410" s="7" t="n">
        <v>1</v>
      </c>
      <c r="D410" s="7" t="s">
        <v>6</v>
      </c>
      <c r="E410" s="7" t="n">
        <v>2</v>
      </c>
      <c r="F410" s="9" t="s">
        <v>7</v>
      </c>
    </row>
    <row r="411" customFormat="false" ht="15" hidden="false" customHeight="false" outlineLevel="0" collapsed="false">
      <c r="A411" s="7" t="n">
        <v>410</v>
      </c>
      <c r="B411" s="8" t="n">
        <v>46</v>
      </c>
      <c r="C411" s="7" t="n">
        <v>1</v>
      </c>
      <c r="D411" s="7" t="s">
        <v>6</v>
      </c>
      <c r="E411" s="7" t="n">
        <v>1</v>
      </c>
      <c r="F411" s="9" t="s">
        <v>11</v>
      </c>
    </row>
    <row r="412" customFormat="false" ht="15" hidden="false" customHeight="false" outlineLevel="0" collapsed="false">
      <c r="A412" s="7" t="n">
        <v>411</v>
      </c>
      <c r="B412" s="8" t="n">
        <v>47</v>
      </c>
      <c r="C412" s="7" t="n">
        <v>0</v>
      </c>
      <c r="D412" s="7" t="s">
        <v>15</v>
      </c>
      <c r="E412" s="7" t="n">
        <v>3</v>
      </c>
      <c r="F412" s="9" t="s">
        <v>10</v>
      </c>
    </row>
    <row r="413" customFormat="false" ht="15" hidden="false" customHeight="false" outlineLevel="0" collapsed="false">
      <c r="A413" s="7" t="n">
        <v>412</v>
      </c>
      <c r="B413" s="8" t="n">
        <v>47</v>
      </c>
      <c r="C413" s="7" t="n">
        <v>1</v>
      </c>
      <c r="D413" s="7" t="s">
        <v>6</v>
      </c>
      <c r="E413" s="7" t="n">
        <v>2</v>
      </c>
      <c r="F413" s="9" t="s">
        <v>7</v>
      </c>
    </row>
    <row r="414" customFormat="false" ht="15" hidden="false" customHeight="false" outlineLevel="0" collapsed="false">
      <c r="A414" s="7" t="n">
        <v>413</v>
      </c>
      <c r="B414" s="8" t="n">
        <v>47</v>
      </c>
      <c r="C414" s="7" t="n">
        <v>1</v>
      </c>
      <c r="D414" s="7" t="s">
        <v>6</v>
      </c>
      <c r="E414" s="7" t="n">
        <v>2</v>
      </c>
      <c r="F414" s="9" t="s">
        <v>7</v>
      </c>
    </row>
    <row r="415" customFormat="false" ht="15" hidden="false" customHeight="false" outlineLevel="0" collapsed="false">
      <c r="A415" s="7" t="n">
        <v>414</v>
      </c>
      <c r="B415" s="8" t="n">
        <v>47</v>
      </c>
      <c r="C415" s="7" t="n">
        <v>1</v>
      </c>
      <c r="D415" s="7" t="s">
        <v>6</v>
      </c>
      <c r="E415" s="7" t="n">
        <v>1</v>
      </c>
      <c r="F415" s="9" t="s">
        <v>11</v>
      </c>
    </row>
    <row r="416" customFormat="false" ht="15" hidden="false" customHeight="false" outlineLevel="0" collapsed="false">
      <c r="A416" s="7" t="n">
        <v>415</v>
      </c>
      <c r="B416" s="8" t="n">
        <v>47</v>
      </c>
      <c r="C416" s="7" t="n">
        <v>0</v>
      </c>
      <c r="D416" s="7" t="s">
        <v>15</v>
      </c>
      <c r="E416" s="7" t="n">
        <v>2</v>
      </c>
      <c r="F416" s="9" t="s">
        <v>7</v>
      </c>
    </row>
    <row r="417" customFormat="false" ht="15" hidden="false" customHeight="false" outlineLevel="0" collapsed="false">
      <c r="A417" s="7" t="n">
        <v>416</v>
      </c>
      <c r="B417" s="8" t="n">
        <v>47</v>
      </c>
      <c r="C417" s="7" t="n">
        <v>0</v>
      </c>
      <c r="D417" s="7" t="s">
        <v>15</v>
      </c>
      <c r="E417" s="7" t="n">
        <v>3</v>
      </c>
      <c r="F417" s="9" t="s">
        <v>10</v>
      </c>
    </row>
    <row r="418" customFormat="false" ht="15" hidden="false" customHeight="false" outlineLevel="0" collapsed="false">
      <c r="A418" s="7" t="n">
        <v>417</v>
      </c>
      <c r="B418" s="8" t="n">
        <v>47</v>
      </c>
      <c r="C418" s="7" t="n">
        <v>1</v>
      </c>
      <c r="D418" s="7" t="s">
        <v>6</v>
      </c>
      <c r="E418" s="7" t="n">
        <v>3</v>
      </c>
      <c r="F418" s="9" t="s">
        <v>10</v>
      </c>
    </row>
    <row r="419" customFormat="false" ht="15" hidden="false" customHeight="false" outlineLevel="0" collapsed="false">
      <c r="A419" s="7" t="n">
        <v>418</v>
      </c>
      <c r="B419" s="8" t="n">
        <v>47</v>
      </c>
      <c r="C419" s="7" t="n">
        <v>1</v>
      </c>
      <c r="D419" s="7" t="s">
        <v>6</v>
      </c>
      <c r="E419" s="7" t="n">
        <v>2</v>
      </c>
      <c r="F419" s="9" t="s">
        <v>7</v>
      </c>
    </row>
    <row r="420" customFormat="false" ht="15" hidden="false" customHeight="false" outlineLevel="0" collapsed="false">
      <c r="A420" s="7" t="n">
        <v>419</v>
      </c>
      <c r="B420" s="8" t="n">
        <v>47</v>
      </c>
      <c r="C420" s="7" t="n">
        <v>1</v>
      </c>
      <c r="D420" s="7" t="s">
        <v>6</v>
      </c>
      <c r="E420" s="7" t="n">
        <v>1</v>
      </c>
      <c r="F420" s="9" t="s">
        <v>11</v>
      </c>
    </row>
    <row r="421" customFormat="false" ht="15" hidden="false" customHeight="false" outlineLevel="0" collapsed="false">
      <c r="A421" s="7" t="n">
        <v>420</v>
      </c>
      <c r="B421" s="8" t="n">
        <v>47</v>
      </c>
      <c r="C421" s="7" t="n">
        <v>1</v>
      </c>
      <c r="D421" s="7" t="s">
        <v>6</v>
      </c>
      <c r="E421" s="7" t="n">
        <v>2</v>
      </c>
      <c r="F421" s="9" t="s">
        <v>7</v>
      </c>
    </row>
    <row r="422" customFormat="false" ht="15" hidden="false" customHeight="false" outlineLevel="0" collapsed="false">
      <c r="A422" s="7" t="n">
        <v>421</v>
      </c>
      <c r="B422" s="8" t="n">
        <v>47</v>
      </c>
      <c r="C422" s="7" t="n">
        <v>1</v>
      </c>
      <c r="D422" s="7" t="s">
        <v>6</v>
      </c>
      <c r="E422" s="7" t="n">
        <v>1</v>
      </c>
      <c r="F422" s="9" t="s">
        <v>11</v>
      </c>
    </row>
    <row r="423" customFormat="false" ht="15" hidden="false" customHeight="false" outlineLevel="0" collapsed="false">
      <c r="A423" s="7" t="n">
        <v>422</v>
      </c>
      <c r="B423" s="8" t="n">
        <v>47</v>
      </c>
      <c r="C423" s="7" t="n">
        <v>0</v>
      </c>
      <c r="D423" s="7" t="s">
        <v>15</v>
      </c>
      <c r="E423" s="7" t="n">
        <v>2</v>
      </c>
      <c r="F423" s="9" t="s">
        <v>7</v>
      </c>
    </row>
    <row r="424" customFormat="false" ht="15" hidden="false" customHeight="false" outlineLevel="0" collapsed="false">
      <c r="A424" s="7" t="n">
        <v>423</v>
      </c>
      <c r="B424" s="8" t="n">
        <v>47</v>
      </c>
      <c r="C424" s="7" t="n">
        <v>0</v>
      </c>
      <c r="D424" s="7" t="s">
        <v>15</v>
      </c>
      <c r="E424" s="7" t="n">
        <v>2</v>
      </c>
      <c r="F424" s="9" t="s">
        <v>7</v>
      </c>
    </row>
    <row r="425" customFormat="false" ht="15" hidden="false" customHeight="false" outlineLevel="0" collapsed="false">
      <c r="A425" s="7" t="n">
        <v>424</v>
      </c>
      <c r="B425" s="8" t="n">
        <v>47</v>
      </c>
      <c r="C425" s="7" t="n">
        <v>0</v>
      </c>
      <c r="D425" s="7" t="s">
        <v>15</v>
      </c>
      <c r="E425" s="7" t="n">
        <v>1</v>
      </c>
      <c r="F425" s="9" t="s">
        <v>11</v>
      </c>
    </row>
    <row r="426" customFormat="false" ht="15" hidden="false" customHeight="false" outlineLevel="0" collapsed="false">
      <c r="A426" s="7" t="n">
        <v>425</v>
      </c>
      <c r="B426" s="8" t="n">
        <v>47</v>
      </c>
      <c r="C426" s="7" t="n">
        <v>0</v>
      </c>
      <c r="D426" s="7" t="s">
        <v>15</v>
      </c>
      <c r="E426" s="7" t="n">
        <v>3</v>
      </c>
      <c r="F426" s="9" t="s">
        <v>10</v>
      </c>
    </row>
    <row r="427" customFormat="false" ht="15" hidden="false" customHeight="false" outlineLevel="0" collapsed="false">
      <c r="A427" s="7" t="n">
        <v>426</v>
      </c>
      <c r="B427" s="8" t="n">
        <v>47</v>
      </c>
      <c r="C427" s="7" t="n">
        <v>0</v>
      </c>
      <c r="D427" s="7" t="s">
        <v>15</v>
      </c>
      <c r="E427" s="7" t="n">
        <v>1</v>
      </c>
      <c r="F427" s="9" t="s">
        <v>11</v>
      </c>
    </row>
    <row r="428" customFormat="false" ht="15" hidden="false" customHeight="false" outlineLevel="0" collapsed="false">
      <c r="A428" s="7" t="n">
        <v>427</v>
      </c>
      <c r="B428" s="8" t="n">
        <v>47</v>
      </c>
      <c r="C428" s="7" t="n">
        <v>1</v>
      </c>
      <c r="D428" s="7" t="s">
        <v>6</v>
      </c>
      <c r="E428" s="7" t="n">
        <v>1</v>
      </c>
      <c r="F428" s="9" t="s">
        <v>11</v>
      </c>
    </row>
    <row r="429" customFormat="false" ht="15" hidden="false" customHeight="false" outlineLevel="0" collapsed="false">
      <c r="A429" s="7" t="n">
        <v>428</v>
      </c>
      <c r="B429" s="8" t="n">
        <v>47</v>
      </c>
      <c r="C429" s="7" t="n">
        <v>1</v>
      </c>
      <c r="D429" s="7" t="s">
        <v>6</v>
      </c>
      <c r="E429" s="7" t="n">
        <v>3</v>
      </c>
      <c r="F429" s="9" t="s">
        <v>10</v>
      </c>
    </row>
    <row r="430" customFormat="false" ht="15" hidden="false" customHeight="false" outlineLevel="0" collapsed="false">
      <c r="A430" s="7" t="n">
        <v>429</v>
      </c>
      <c r="B430" s="8" t="n">
        <v>47</v>
      </c>
      <c r="C430" s="7" t="n">
        <v>1</v>
      </c>
      <c r="D430" s="7" t="s">
        <v>6</v>
      </c>
      <c r="E430" s="7" t="n">
        <v>1</v>
      </c>
      <c r="F430" s="9" t="s">
        <v>11</v>
      </c>
    </row>
    <row r="431" customFormat="false" ht="15" hidden="false" customHeight="false" outlineLevel="0" collapsed="false">
      <c r="A431" s="7" t="n">
        <v>430</v>
      </c>
      <c r="B431" s="8" t="n">
        <v>48</v>
      </c>
      <c r="C431" s="7" t="n">
        <v>1</v>
      </c>
      <c r="D431" s="7" t="s">
        <v>6</v>
      </c>
      <c r="E431" s="7" t="n">
        <v>2</v>
      </c>
      <c r="F431" s="9" t="s">
        <v>7</v>
      </c>
    </row>
    <row r="432" customFormat="false" ht="15" hidden="false" customHeight="false" outlineLevel="0" collapsed="false">
      <c r="A432" s="7" t="n">
        <v>431</v>
      </c>
      <c r="B432" s="8" t="n">
        <v>48</v>
      </c>
      <c r="C432" s="7" t="n">
        <v>1</v>
      </c>
      <c r="D432" s="7" t="s">
        <v>6</v>
      </c>
      <c r="E432" s="7" t="n">
        <v>1</v>
      </c>
      <c r="F432" s="9" t="s">
        <v>11</v>
      </c>
    </row>
    <row r="433" customFormat="false" ht="15" hidden="false" customHeight="false" outlineLevel="0" collapsed="false">
      <c r="A433" s="7" t="n">
        <v>432</v>
      </c>
      <c r="B433" s="8" t="n">
        <v>48</v>
      </c>
      <c r="C433" s="7" t="n">
        <v>0</v>
      </c>
      <c r="D433" s="7" t="s">
        <v>15</v>
      </c>
      <c r="E433" s="7" t="n">
        <v>1</v>
      </c>
      <c r="F433" s="9" t="s">
        <v>11</v>
      </c>
    </row>
    <row r="434" customFormat="false" ht="15" hidden="false" customHeight="false" outlineLevel="0" collapsed="false">
      <c r="A434" s="7" t="n">
        <v>433</v>
      </c>
      <c r="B434" s="8" t="n">
        <v>48</v>
      </c>
      <c r="C434" s="7" t="n">
        <v>0</v>
      </c>
      <c r="D434" s="7" t="s">
        <v>15</v>
      </c>
      <c r="E434" s="7" t="n">
        <v>1</v>
      </c>
      <c r="F434" s="9" t="s">
        <v>11</v>
      </c>
    </row>
    <row r="435" customFormat="false" ht="15" hidden="false" customHeight="false" outlineLevel="0" collapsed="false">
      <c r="A435" s="7" t="n">
        <v>434</v>
      </c>
      <c r="B435" s="8" t="n">
        <v>48</v>
      </c>
      <c r="C435" s="7" t="n">
        <v>0</v>
      </c>
      <c r="D435" s="7" t="s">
        <v>15</v>
      </c>
      <c r="E435" s="7" t="n">
        <v>3</v>
      </c>
      <c r="F435" s="9" t="s">
        <v>10</v>
      </c>
    </row>
    <row r="436" customFormat="false" ht="15" hidden="false" customHeight="false" outlineLevel="0" collapsed="false">
      <c r="A436" s="7" t="n">
        <v>435</v>
      </c>
      <c r="B436" s="8" t="n">
        <v>48</v>
      </c>
      <c r="C436" s="7" t="n">
        <v>0</v>
      </c>
      <c r="D436" s="7" t="s">
        <v>15</v>
      </c>
      <c r="E436" s="7" t="n">
        <v>1</v>
      </c>
      <c r="F436" s="9" t="s">
        <v>11</v>
      </c>
    </row>
    <row r="437" customFormat="false" ht="15" hidden="false" customHeight="false" outlineLevel="0" collapsed="false">
      <c r="A437" s="7" t="n">
        <v>436</v>
      </c>
      <c r="B437" s="8" t="n">
        <v>48</v>
      </c>
      <c r="C437" s="7" t="n">
        <v>0</v>
      </c>
      <c r="D437" s="7" t="s">
        <v>15</v>
      </c>
      <c r="E437" s="7" t="n">
        <v>2</v>
      </c>
      <c r="F437" s="9" t="s">
        <v>7</v>
      </c>
    </row>
    <row r="438" customFormat="false" ht="15" hidden="false" customHeight="false" outlineLevel="0" collapsed="false">
      <c r="A438" s="7" t="n">
        <v>437</v>
      </c>
      <c r="B438" s="8" t="n">
        <v>48</v>
      </c>
      <c r="C438" s="7" t="n">
        <v>1</v>
      </c>
      <c r="D438" s="7" t="s">
        <v>6</v>
      </c>
      <c r="E438" s="7" t="n">
        <v>2</v>
      </c>
      <c r="F438" s="9" t="s">
        <v>7</v>
      </c>
    </row>
    <row r="439" customFormat="false" ht="15" hidden="false" customHeight="false" outlineLevel="0" collapsed="false">
      <c r="A439" s="7" t="n">
        <v>438</v>
      </c>
      <c r="B439" s="8" t="n">
        <v>48</v>
      </c>
      <c r="C439" s="7" t="n">
        <v>1</v>
      </c>
      <c r="D439" s="7" t="s">
        <v>6</v>
      </c>
      <c r="E439" s="7" t="n">
        <v>2</v>
      </c>
      <c r="F439" s="9" t="s">
        <v>7</v>
      </c>
    </row>
    <row r="440" customFormat="false" ht="15" hidden="false" customHeight="false" outlineLevel="0" collapsed="false">
      <c r="A440" s="7" t="n">
        <v>439</v>
      </c>
      <c r="B440" s="8" t="n">
        <v>48</v>
      </c>
      <c r="C440" s="7" t="n">
        <v>0</v>
      </c>
      <c r="D440" s="7" t="s">
        <v>15</v>
      </c>
      <c r="E440" s="7" t="n">
        <v>3</v>
      </c>
      <c r="F440" s="9" t="s">
        <v>10</v>
      </c>
    </row>
    <row r="441" customFormat="false" ht="15" hidden="false" customHeight="false" outlineLevel="0" collapsed="false">
      <c r="A441" s="7" t="n">
        <v>440</v>
      </c>
      <c r="B441" s="8" t="n">
        <v>48</v>
      </c>
      <c r="C441" s="7" t="n">
        <v>1</v>
      </c>
      <c r="D441" s="7" t="s">
        <v>6</v>
      </c>
      <c r="E441" s="7" t="n">
        <v>3</v>
      </c>
      <c r="F441" s="9" t="s">
        <v>10</v>
      </c>
    </row>
    <row r="442" customFormat="false" ht="15" hidden="false" customHeight="false" outlineLevel="0" collapsed="false">
      <c r="A442" s="7" t="n">
        <v>441</v>
      </c>
      <c r="B442" s="8" t="n">
        <v>48</v>
      </c>
      <c r="C442" s="7" t="n">
        <v>0</v>
      </c>
      <c r="D442" s="7" t="s">
        <v>15</v>
      </c>
      <c r="E442" s="7" t="n">
        <v>2</v>
      </c>
      <c r="F442" s="9" t="s">
        <v>7</v>
      </c>
    </row>
    <row r="443" customFormat="false" ht="15" hidden="false" customHeight="false" outlineLevel="0" collapsed="false">
      <c r="A443" s="7" t="n">
        <v>442</v>
      </c>
      <c r="B443" s="8" t="n">
        <v>48</v>
      </c>
      <c r="C443" s="7" t="n">
        <v>1</v>
      </c>
      <c r="D443" s="7" t="s">
        <v>6</v>
      </c>
      <c r="E443" s="7" t="n">
        <v>3</v>
      </c>
      <c r="F443" s="9" t="s">
        <v>10</v>
      </c>
    </row>
    <row r="444" customFormat="false" ht="15" hidden="false" customHeight="false" outlineLevel="0" collapsed="false">
      <c r="A444" s="7" t="n">
        <v>443</v>
      </c>
      <c r="B444" s="8" t="n">
        <v>48</v>
      </c>
      <c r="C444" s="7" t="n">
        <v>0</v>
      </c>
      <c r="D444" s="7" t="s">
        <v>15</v>
      </c>
      <c r="E444" s="7" t="n">
        <v>3</v>
      </c>
      <c r="F444" s="9" t="s">
        <v>10</v>
      </c>
    </row>
    <row r="445" customFormat="false" ht="15" hidden="false" customHeight="false" outlineLevel="0" collapsed="false">
      <c r="A445" s="7" t="n">
        <v>444</v>
      </c>
      <c r="B445" s="8" t="n">
        <v>48</v>
      </c>
      <c r="C445" s="7" t="n">
        <v>0</v>
      </c>
      <c r="D445" s="7" t="s">
        <v>15</v>
      </c>
      <c r="E445" s="7" t="n">
        <v>1</v>
      </c>
      <c r="F445" s="9" t="s">
        <v>11</v>
      </c>
    </row>
    <row r="446" customFormat="false" ht="15" hidden="false" customHeight="false" outlineLevel="0" collapsed="false">
      <c r="A446" s="7" t="n">
        <v>445</v>
      </c>
      <c r="B446" s="8" t="n">
        <v>48</v>
      </c>
      <c r="C446" s="7" t="n">
        <v>0</v>
      </c>
      <c r="D446" s="7" t="s">
        <v>15</v>
      </c>
      <c r="E446" s="7" t="n">
        <v>2</v>
      </c>
      <c r="F446" s="9" t="s">
        <v>7</v>
      </c>
    </row>
    <row r="447" customFormat="false" ht="15" hidden="false" customHeight="false" outlineLevel="0" collapsed="false">
      <c r="A447" s="7" t="n">
        <v>446</v>
      </c>
      <c r="B447" s="8" t="n">
        <v>49</v>
      </c>
      <c r="C447" s="7" t="n">
        <v>0</v>
      </c>
      <c r="D447" s="7" t="s">
        <v>15</v>
      </c>
      <c r="E447" s="7" t="n">
        <v>1</v>
      </c>
      <c r="F447" s="9" t="s">
        <v>11</v>
      </c>
    </row>
    <row r="448" customFormat="false" ht="15" hidden="false" customHeight="false" outlineLevel="0" collapsed="false">
      <c r="A448" s="7" t="n">
        <v>447</v>
      </c>
      <c r="B448" s="8" t="n">
        <v>49</v>
      </c>
      <c r="C448" s="7" t="n">
        <v>0</v>
      </c>
      <c r="D448" s="7" t="s">
        <v>15</v>
      </c>
      <c r="E448" s="7" t="n">
        <v>2</v>
      </c>
      <c r="F448" s="9" t="s">
        <v>7</v>
      </c>
    </row>
    <row r="449" customFormat="false" ht="15" hidden="false" customHeight="false" outlineLevel="0" collapsed="false">
      <c r="A449" s="7" t="n">
        <v>448</v>
      </c>
      <c r="B449" s="8" t="n">
        <v>49</v>
      </c>
      <c r="C449" s="7" t="n">
        <v>0</v>
      </c>
      <c r="D449" s="7" t="s">
        <v>15</v>
      </c>
      <c r="E449" s="7" t="n">
        <v>2</v>
      </c>
      <c r="F449" s="9" t="s">
        <v>7</v>
      </c>
    </row>
    <row r="450" customFormat="false" ht="15" hidden="false" customHeight="false" outlineLevel="0" collapsed="false">
      <c r="A450" s="7" t="n">
        <v>449</v>
      </c>
      <c r="B450" s="8" t="n">
        <v>49</v>
      </c>
      <c r="C450" s="7" t="n">
        <v>1</v>
      </c>
      <c r="D450" s="7" t="s">
        <v>6</v>
      </c>
      <c r="E450" s="7" t="n">
        <v>1</v>
      </c>
      <c r="F450" s="9" t="s">
        <v>11</v>
      </c>
    </row>
    <row r="451" customFormat="false" ht="15" hidden="false" customHeight="false" outlineLevel="0" collapsed="false">
      <c r="A451" s="7" t="n">
        <v>450</v>
      </c>
      <c r="B451" s="8" t="n">
        <v>49</v>
      </c>
      <c r="C451" s="7" t="n">
        <v>1</v>
      </c>
      <c r="D451" s="7" t="s">
        <v>6</v>
      </c>
      <c r="E451" s="7" t="n">
        <v>2</v>
      </c>
      <c r="F451" s="9" t="s">
        <v>7</v>
      </c>
    </row>
    <row r="452" customFormat="false" ht="15" hidden="false" customHeight="false" outlineLevel="0" collapsed="false">
      <c r="A452" s="7" t="n">
        <v>451</v>
      </c>
      <c r="B452" s="8" t="n">
        <v>49</v>
      </c>
      <c r="C452" s="7" t="n">
        <v>0</v>
      </c>
      <c r="D452" s="7" t="s">
        <v>15</v>
      </c>
      <c r="E452" s="7" t="n">
        <v>1</v>
      </c>
      <c r="F452" s="9" t="s">
        <v>11</v>
      </c>
    </row>
    <row r="453" customFormat="false" ht="15" hidden="false" customHeight="false" outlineLevel="0" collapsed="false">
      <c r="A453" s="7" t="n">
        <v>452</v>
      </c>
      <c r="B453" s="8" t="n">
        <v>49</v>
      </c>
      <c r="C453" s="7" t="n">
        <v>0</v>
      </c>
      <c r="D453" s="7" t="s">
        <v>15</v>
      </c>
      <c r="E453" s="7" t="n">
        <v>3</v>
      </c>
      <c r="F453" s="9" t="s">
        <v>10</v>
      </c>
    </row>
    <row r="454" customFormat="false" ht="15" hidden="false" customHeight="false" outlineLevel="0" collapsed="false">
      <c r="A454" s="7" t="n">
        <v>453</v>
      </c>
      <c r="B454" s="8" t="n">
        <v>49</v>
      </c>
      <c r="C454" s="7" t="n">
        <v>1</v>
      </c>
      <c r="D454" s="7" t="s">
        <v>6</v>
      </c>
      <c r="E454" s="7" t="n">
        <v>3</v>
      </c>
      <c r="F454" s="9" t="s">
        <v>10</v>
      </c>
    </row>
    <row r="455" customFormat="false" ht="15" hidden="false" customHeight="false" outlineLevel="0" collapsed="false">
      <c r="A455" s="7" t="n">
        <v>454</v>
      </c>
      <c r="B455" s="8" t="n">
        <v>49</v>
      </c>
      <c r="C455" s="7" t="n">
        <v>1</v>
      </c>
      <c r="D455" s="7" t="s">
        <v>6</v>
      </c>
      <c r="E455" s="7" t="n">
        <v>1</v>
      </c>
      <c r="F455" s="9" t="s">
        <v>11</v>
      </c>
    </row>
    <row r="456" customFormat="false" ht="15" hidden="false" customHeight="false" outlineLevel="0" collapsed="false">
      <c r="A456" s="7" t="n">
        <v>455</v>
      </c>
      <c r="B456" s="8" t="n">
        <v>49</v>
      </c>
      <c r="C456" s="7" t="n">
        <v>0</v>
      </c>
      <c r="D456" s="7" t="s">
        <v>15</v>
      </c>
      <c r="E456" s="7" t="n">
        <v>3</v>
      </c>
      <c r="F456" s="9" t="s">
        <v>10</v>
      </c>
    </row>
    <row r="457" customFormat="false" ht="15" hidden="false" customHeight="false" outlineLevel="0" collapsed="false">
      <c r="A457" s="7" t="n">
        <v>456</v>
      </c>
      <c r="B457" s="8" t="n">
        <v>49</v>
      </c>
      <c r="C457" s="7" t="n">
        <v>1</v>
      </c>
      <c r="D457" s="7" t="s">
        <v>6</v>
      </c>
      <c r="E457" s="7" t="n">
        <v>3</v>
      </c>
      <c r="F457" s="9" t="s">
        <v>10</v>
      </c>
    </row>
    <row r="458" customFormat="false" ht="15" hidden="false" customHeight="false" outlineLevel="0" collapsed="false">
      <c r="A458" s="7" t="n">
        <v>457</v>
      </c>
      <c r="B458" s="8" t="n">
        <v>49</v>
      </c>
      <c r="C458" s="7" t="n">
        <v>1</v>
      </c>
      <c r="D458" s="7" t="s">
        <v>6</v>
      </c>
      <c r="E458" s="7" t="n">
        <v>2</v>
      </c>
      <c r="F458" s="9" t="s">
        <v>7</v>
      </c>
    </row>
    <row r="459" customFormat="false" ht="15" hidden="false" customHeight="false" outlineLevel="0" collapsed="false">
      <c r="A459" s="7" t="n">
        <v>458</v>
      </c>
      <c r="B459" s="8" t="n">
        <v>49</v>
      </c>
      <c r="C459" s="7" t="n">
        <v>0</v>
      </c>
      <c r="D459" s="7" t="s">
        <v>15</v>
      </c>
      <c r="E459" s="7" t="n">
        <v>1</v>
      </c>
      <c r="F459" s="9" t="s">
        <v>11</v>
      </c>
    </row>
    <row r="460" customFormat="false" ht="15" hidden="false" customHeight="false" outlineLevel="0" collapsed="false">
      <c r="A460" s="7" t="n">
        <v>459</v>
      </c>
      <c r="B460" s="8" t="n">
        <v>49</v>
      </c>
      <c r="C460" s="7" t="n">
        <v>0</v>
      </c>
      <c r="D460" s="7" t="s">
        <v>15</v>
      </c>
      <c r="E460" s="7" t="n">
        <v>3</v>
      </c>
      <c r="F460" s="9" t="s">
        <v>10</v>
      </c>
    </row>
    <row r="461" customFormat="false" ht="15" hidden="false" customHeight="false" outlineLevel="0" collapsed="false">
      <c r="A461" s="7" t="n">
        <v>460</v>
      </c>
      <c r="B461" s="8" t="n">
        <v>49</v>
      </c>
      <c r="C461" s="7" t="n">
        <v>0</v>
      </c>
      <c r="D461" s="7" t="s">
        <v>15</v>
      </c>
      <c r="E461" s="7" t="n">
        <v>3</v>
      </c>
      <c r="F461" s="9" t="s">
        <v>10</v>
      </c>
    </row>
    <row r="462" customFormat="false" ht="15" hidden="false" customHeight="false" outlineLevel="0" collapsed="false">
      <c r="A462" s="7" t="n">
        <v>461</v>
      </c>
      <c r="B462" s="8" t="n">
        <v>49</v>
      </c>
      <c r="C462" s="7" t="n">
        <v>0</v>
      </c>
      <c r="D462" s="7" t="s">
        <v>15</v>
      </c>
      <c r="E462" s="7" t="n">
        <v>1</v>
      </c>
      <c r="F462" s="9" t="s">
        <v>11</v>
      </c>
    </row>
    <row r="463" customFormat="false" ht="15" hidden="false" customHeight="false" outlineLevel="0" collapsed="false">
      <c r="A463" s="7" t="n">
        <v>462</v>
      </c>
      <c r="B463" s="8" t="n">
        <v>49</v>
      </c>
      <c r="C463" s="7" t="n">
        <v>1</v>
      </c>
      <c r="D463" s="7" t="s">
        <v>6</v>
      </c>
      <c r="E463" s="7" t="n">
        <v>1</v>
      </c>
      <c r="F463" s="9" t="s">
        <v>11</v>
      </c>
    </row>
    <row r="464" customFormat="false" ht="15" hidden="false" customHeight="false" outlineLevel="0" collapsed="false">
      <c r="A464" s="7" t="n">
        <v>463</v>
      </c>
      <c r="B464" s="8" t="n">
        <v>49</v>
      </c>
      <c r="C464" s="7" t="n">
        <v>1</v>
      </c>
      <c r="D464" s="7" t="s">
        <v>6</v>
      </c>
      <c r="E464" s="7" t="n">
        <v>2</v>
      </c>
      <c r="F464" s="9" t="s">
        <v>7</v>
      </c>
    </row>
    <row r="465" customFormat="false" ht="15" hidden="false" customHeight="false" outlineLevel="0" collapsed="false">
      <c r="A465" s="7" t="n">
        <v>464</v>
      </c>
      <c r="B465" s="8" t="n">
        <v>49</v>
      </c>
      <c r="C465" s="7" t="n">
        <v>0</v>
      </c>
      <c r="D465" s="7" t="s">
        <v>15</v>
      </c>
      <c r="E465" s="7" t="n">
        <v>1</v>
      </c>
      <c r="F465" s="9" t="s">
        <v>11</v>
      </c>
    </row>
    <row r="466" customFormat="false" ht="15" hidden="false" customHeight="false" outlineLevel="0" collapsed="false">
      <c r="A466" s="7" t="n">
        <v>465</v>
      </c>
      <c r="B466" s="8" t="n">
        <v>50</v>
      </c>
      <c r="C466" s="7" t="n">
        <v>1</v>
      </c>
      <c r="D466" s="7" t="s">
        <v>6</v>
      </c>
      <c r="E466" s="7" t="n">
        <v>2</v>
      </c>
      <c r="F466" s="9" t="s">
        <v>7</v>
      </c>
    </row>
    <row r="467" customFormat="false" ht="15" hidden="false" customHeight="false" outlineLevel="0" collapsed="false">
      <c r="A467" s="7" t="n">
        <v>466</v>
      </c>
      <c r="B467" s="8" t="n">
        <v>50</v>
      </c>
      <c r="C467" s="7" t="n">
        <v>0</v>
      </c>
      <c r="D467" s="7" t="s">
        <v>15</v>
      </c>
      <c r="E467" s="7" t="n">
        <v>1</v>
      </c>
      <c r="F467" s="9" t="s">
        <v>11</v>
      </c>
    </row>
    <row r="468" customFormat="false" ht="15" hidden="false" customHeight="false" outlineLevel="0" collapsed="false">
      <c r="A468" s="7" t="n">
        <v>467</v>
      </c>
      <c r="B468" s="8" t="n">
        <v>50</v>
      </c>
      <c r="C468" s="7" t="n">
        <v>0</v>
      </c>
      <c r="D468" s="7" t="s">
        <v>15</v>
      </c>
      <c r="E468" s="7" t="n">
        <v>3</v>
      </c>
      <c r="F468" s="9" t="s">
        <v>10</v>
      </c>
    </row>
    <row r="469" customFormat="false" ht="15" hidden="false" customHeight="false" outlineLevel="0" collapsed="false">
      <c r="A469" s="7" t="n">
        <v>468</v>
      </c>
      <c r="B469" s="8" t="n">
        <v>50</v>
      </c>
      <c r="C469" s="7" t="n">
        <v>1</v>
      </c>
      <c r="D469" s="7" t="s">
        <v>6</v>
      </c>
      <c r="E469" s="7" t="n">
        <v>2</v>
      </c>
      <c r="F469" s="9" t="s">
        <v>7</v>
      </c>
    </row>
    <row r="470" customFormat="false" ht="15" hidden="false" customHeight="false" outlineLevel="0" collapsed="false">
      <c r="A470" s="7" t="n">
        <v>469</v>
      </c>
      <c r="B470" s="8" t="n">
        <v>50</v>
      </c>
      <c r="C470" s="7" t="n">
        <v>1</v>
      </c>
      <c r="D470" s="7" t="s">
        <v>6</v>
      </c>
      <c r="E470" s="7" t="n">
        <v>2</v>
      </c>
      <c r="F470" s="9" t="s">
        <v>7</v>
      </c>
    </row>
    <row r="471" customFormat="false" ht="15" hidden="false" customHeight="false" outlineLevel="0" collapsed="false">
      <c r="A471" s="7" t="n">
        <v>470</v>
      </c>
      <c r="B471" s="8" t="n">
        <v>50</v>
      </c>
      <c r="C471" s="7" t="n">
        <v>1</v>
      </c>
      <c r="D471" s="7" t="s">
        <v>6</v>
      </c>
      <c r="E471" s="7" t="n">
        <v>2</v>
      </c>
      <c r="F471" s="9" t="s">
        <v>7</v>
      </c>
    </row>
    <row r="472" customFormat="false" ht="15" hidden="false" customHeight="false" outlineLevel="0" collapsed="false">
      <c r="A472" s="7" t="n">
        <v>471</v>
      </c>
      <c r="B472" s="8" t="n">
        <v>50</v>
      </c>
      <c r="C472" s="7" t="n">
        <v>0</v>
      </c>
      <c r="D472" s="7" t="s">
        <v>15</v>
      </c>
      <c r="E472" s="7" t="n">
        <v>3</v>
      </c>
      <c r="F472" s="9" t="s">
        <v>10</v>
      </c>
    </row>
    <row r="473" customFormat="false" ht="15" hidden="false" customHeight="false" outlineLevel="0" collapsed="false">
      <c r="A473" s="7" t="n">
        <v>472</v>
      </c>
      <c r="B473" s="8" t="n">
        <v>50</v>
      </c>
      <c r="C473" s="7" t="n">
        <v>0</v>
      </c>
      <c r="D473" s="7" t="s">
        <v>15</v>
      </c>
      <c r="E473" s="7" t="n">
        <v>3</v>
      </c>
      <c r="F473" s="9" t="s">
        <v>10</v>
      </c>
    </row>
    <row r="474" customFormat="false" ht="15" hidden="false" customHeight="false" outlineLevel="0" collapsed="false">
      <c r="A474" s="7" t="n">
        <v>473</v>
      </c>
      <c r="B474" s="8" t="n">
        <v>50</v>
      </c>
      <c r="C474" s="7" t="n">
        <v>1</v>
      </c>
      <c r="D474" s="7" t="s">
        <v>6</v>
      </c>
      <c r="E474" s="7" t="n">
        <v>3</v>
      </c>
      <c r="F474" s="9" t="s">
        <v>10</v>
      </c>
    </row>
    <row r="475" customFormat="false" ht="15" hidden="false" customHeight="false" outlineLevel="0" collapsed="false">
      <c r="A475" s="7" t="n">
        <v>474</v>
      </c>
      <c r="B475" s="8" t="n">
        <v>50</v>
      </c>
      <c r="C475" s="7" t="n">
        <v>0</v>
      </c>
      <c r="D475" s="7" t="s">
        <v>15</v>
      </c>
      <c r="E475" s="7" t="n">
        <v>2</v>
      </c>
      <c r="F475" s="9" t="s">
        <v>7</v>
      </c>
    </row>
    <row r="476" customFormat="false" ht="15" hidden="false" customHeight="false" outlineLevel="0" collapsed="false">
      <c r="A476" s="7" t="n">
        <v>475</v>
      </c>
      <c r="B476" s="8" t="n">
        <v>50</v>
      </c>
      <c r="C476" s="7" t="n">
        <v>1</v>
      </c>
      <c r="D476" s="7" t="s">
        <v>6</v>
      </c>
      <c r="E476" s="7" t="n">
        <v>3</v>
      </c>
      <c r="F476" s="9" t="s">
        <v>10</v>
      </c>
    </row>
    <row r="477" customFormat="false" ht="15" hidden="false" customHeight="false" outlineLevel="0" collapsed="false">
      <c r="A477" s="7" t="n">
        <v>476</v>
      </c>
      <c r="B477" s="8" t="n">
        <v>50</v>
      </c>
      <c r="C477" s="7" t="n">
        <v>0</v>
      </c>
      <c r="D477" s="7" t="s">
        <v>15</v>
      </c>
      <c r="E477" s="7" t="n">
        <v>1</v>
      </c>
      <c r="F477" s="9" t="s">
        <v>11</v>
      </c>
    </row>
    <row r="478" customFormat="false" ht="15" hidden="false" customHeight="false" outlineLevel="0" collapsed="false">
      <c r="A478" s="7" t="n">
        <v>477</v>
      </c>
      <c r="B478" s="8" t="n">
        <v>50</v>
      </c>
      <c r="C478" s="7" t="n">
        <v>1</v>
      </c>
      <c r="D478" s="7" t="s">
        <v>6</v>
      </c>
      <c r="E478" s="7" t="n">
        <v>3</v>
      </c>
      <c r="F478" s="9" t="s">
        <v>10</v>
      </c>
    </row>
    <row r="479" customFormat="false" ht="15" hidden="false" customHeight="false" outlineLevel="0" collapsed="false">
      <c r="A479" s="7" t="n">
        <v>478</v>
      </c>
      <c r="B479" s="8" t="n">
        <v>50</v>
      </c>
      <c r="C479" s="7" t="n">
        <v>1</v>
      </c>
      <c r="D479" s="7" t="s">
        <v>6</v>
      </c>
      <c r="E479" s="7" t="n">
        <v>2</v>
      </c>
      <c r="F479" s="9" t="s">
        <v>7</v>
      </c>
    </row>
    <row r="480" customFormat="false" ht="15" hidden="false" customHeight="false" outlineLevel="0" collapsed="false">
      <c r="A480" s="7" t="n">
        <v>479</v>
      </c>
      <c r="B480" s="8" t="n">
        <v>50</v>
      </c>
      <c r="C480" s="7" t="n">
        <v>0</v>
      </c>
      <c r="D480" s="7" t="s">
        <v>15</v>
      </c>
      <c r="E480" s="7" t="n">
        <v>3</v>
      </c>
      <c r="F480" s="9" t="s">
        <v>10</v>
      </c>
    </row>
    <row r="481" customFormat="false" ht="15" hidden="false" customHeight="false" outlineLevel="0" collapsed="false">
      <c r="A481" s="7" t="n">
        <v>480</v>
      </c>
      <c r="B481" s="8" t="n">
        <v>50</v>
      </c>
      <c r="C481" s="7" t="n">
        <v>0</v>
      </c>
      <c r="D481" s="7" t="s">
        <v>15</v>
      </c>
      <c r="E481" s="7" t="n">
        <v>2</v>
      </c>
      <c r="F481" s="9" t="s">
        <v>7</v>
      </c>
    </row>
    <row r="482" customFormat="false" ht="15" hidden="false" customHeight="false" outlineLevel="0" collapsed="false">
      <c r="A482" s="7" t="n">
        <v>481</v>
      </c>
      <c r="B482" s="8" t="n">
        <v>50</v>
      </c>
      <c r="C482" s="7" t="n">
        <v>1</v>
      </c>
      <c r="D482" s="7" t="s">
        <v>6</v>
      </c>
      <c r="E482" s="7" t="n">
        <v>1</v>
      </c>
      <c r="F482" s="9" t="s">
        <v>11</v>
      </c>
    </row>
    <row r="483" customFormat="false" ht="15" hidden="false" customHeight="false" outlineLevel="0" collapsed="false">
      <c r="A483" s="7" t="n">
        <v>482</v>
      </c>
      <c r="B483" s="8" t="n">
        <v>50</v>
      </c>
      <c r="C483" s="7" t="n">
        <v>1</v>
      </c>
      <c r="D483" s="7" t="s">
        <v>6</v>
      </c>
      <c r="E483" s="7" t="n">
        <v>2</v>
      </c>
      <c r="F483" s="9" t="s">
        <v>7</v>
      </c>
    </row>
    <row r="484" customFormat="false" ht="15" hidden="false" customHeight="false" outlineLevel="0" collapsed="false">
      <c r="A484" s="7" t="n">
        <v>483</v>
      </c>
      <c r="B484" s="8" t="n">
        <v>50</v>
      </c>
      <c r="C484" s="7" t="n">
        <v>0</v>
      </c>
      <c r="D484" s="7" t="s">
        <v>15</v>
      </c>
      <c r="E484" s="7" t="n">
        <v>2</v>
      </c>
      <c r="F484" s="9" t="s">
        <v>7</v>
      </c>
    </row>
    <row r="485" customFormat="false" ht="15" hidden="false" customHeight="false" outlineLevel="0" collapsed="false">
      <c r="A485" s="7" t="n">
        <v>484</v>
      </c>
      <c r="B485" s="8" t="n">
        <v>50</v>
      </c>
      <c r="C485" s="7" t="n">
        <v>1</v>
      </c>
      <c r="D485" s="7" t="s">
        <v>6</v>
      </c>
      <c r="E485" s="7" t="n">
        <v>2</v>
      </c>
      <c r="F485" s="9" t="s">
        <v>7</v>
      </c>
    </row>
    <row r="486" customFormat="false" ht="15" hidden="false" customHeight="false" outlineLevel="0" collapsed="false">
      <c r="A486" s="7" t="n">
        <v>485</v>
      </c>
      <c r="B486" s="8" t="n">
        <v>50</v>
      </c>
      <c r="C486" s="7" t="n">
        <v>0</v>
      </c>
      <c r="D486" s="7" t="s">
        <v>15</v>
      </c>
      <c r="E486" s="7" t="n">
        <v>3</v>
      </c>
      <c r="F486" s="9" t="s">
        <v>10</v>
      </c>
    </row>
    <row r="487" customFormat="false" ht="15" hidden="false" customHeight="false" outlineLevel="0" collapsed="false">
      <c r="A487" s="7" t="n">
        <v>486</v>
      </c>
      <c r="B487" s="8" t="n">
        <v>50</v>
      </c>
      <c r="C487" s="7" t="n">
        <v>0</v>
      </c>
      <c r="D487" s="7" t="s">
        <v>15</v>
      </c>
      <c r="E487" s="7" t="n">
        <v>2</v>
      </c>
      <c r="F487" s="9" t="s">
        <v>7</v>
      </c>
    </row>
    <row r="488" customFormat="false" ht="15" hidden="false" customHeight="false" outlineLevel="0" collapsed="false">
      <c r="A488" s="7" t="n">
        <v>487</v>
      </c>
      <c r="B488" s="8" t="n">
        <v>50</v>
      </c>
      <c r="C488" s="7" t="n">
        <v>0</v>
      </c>
      <c r="D488" s="7" t="s">
        <v>15</v>
      </c>
      <c r="E488" s="7" t="n">
        <v>3</v>
      </c>
      <c r="F488" s="9" t="s">
        <v>10</v>
      </c>
    </row>
    <row r="489" customFormat="false" ht="15" hidden="false" customHeight="false" outlineLevel="0" collapsed="false">
      <c r="A489" s="7" t="n">
        <v>488</v>
      </c>
      <c r="B489" s="8" t="n">
        <v>50</v>
      </c>
      <c r="C489" s="7" t="n">
        <v>0</v>
      </c>
      <c r="D489" s="7" t="s">
        <v>15</v>
      </c>
      <c r="E489" s="7" t="n">
        <v>1</v>
      </c>
      <c r="F489" s="9" t="s">
        <v>11</v>
      </c>
    </row>
    <row r="490" customFormat="false" ht="15" hidden="false" customHeight="false" outlineLevel="0" collapsed="false">
      <c r="A490" s="7" t="n">
        <v>489</v>
      </c>
      <c r="B490" s="8" t="n">
        <v>50</v>
      </c>
      <c r="C490" s="7" t="n">
        <v>1</v>
      </c>
      <c r="D490" s="7" t="s">
        <v>6</v>
      </c>
      <c r="E490" s="7" t="n">
        <v>3</v>
      </c>
      <c r="F490" s="9" t="s">
        <v>10</v>
      </c>
    </row>
    <row r="491" customFormat="false" ht="15" hidden="false" customHeight="false" outlineLevel="0" collapsed="false">
      <c r="A491" s="7" t="n">
        <v>490</v>
      </c>
      <c r="B491" s="8" t="n">
        <v>50</v>
      </c>
      <c r="C491" s="7" t="n">
        <v>0</v>
      </c>
      <c r="D491" s="7" t="s">
        <v>15</v>
      </c>
      <c r="E491" s="7" t="n">
        <v>3</v>
      </c>
      <c r="F491" s="9" t="s">
        <v>10</v>
      </c>
    </row>
    <row r="492" customFormat="false" ht="15" hidden="false" customHeight="false" outlineLevel="0" collapsed="false">
      <c r="A492" s="7" t="n">
        <v>491</v>
      </c>
      <c r="B492" s="8" t="n">
        <v>50</v>
      </c>
      <c r="C492" s="7" t="n">
        <v>1</v>
      </c>
      <c r="D492" s="7" t="s">
        <v>6</v>
      </c>
      <c r="E492" s="7" t="n">
        <v>3</v>
      </c>
      <c r="F492" s="9" t="s">
        <v>10</v>
      </c>
    </row>
    <row r="493" customFormat="false" ht="15" hidden="false" customHeight="false" outlineLevel="0" collapsed="false">
      <c r="A493" s="7" t="n">
        <v>492</v>
      </c>
      <c r="B493" s="8" t="n">
        <v>50</v>
      </c>
      <c r="C493" s="7" t="n">
        <v>0</v>
      </c>
      <c r="D493" s="7" t="s">
        <v>15</v>
      </c>
      <c r="E493" s="7" t="n">
        <v>1</v>
      </c>
      <c r="F493" s="9" t="s">
        <v>11</v>
      </c>
    </row>
    <row r="494" customFormat="false" ht="15" hidden="false" customHeight="false" outlineLevel="0" collapsed="false">
      <c r="A494" s="7" t="n">
        <v>493</v>
      </c>
      <c r="B494" s="8" t="n">
        <v>50</v>
      </c>
      <c r="C494" s="7" t="n">
        <v>1</v>
      </c>
      <c r="D494" s="7" t="s">
        <v>6</v>
      </c>
      <c r="E494" s="7" t="n">
        <v>2</v>
      </c>
      <c r="F494" s="9" t="s">
        <v>7</v>
      </c>
    </row>
    <row r="495" customFormat="false" ht="15" hidden="false" customHeight="false" outlineLevel="0" collapsed="false">
      <c r="A495" s="7" t="n">
        <v>494</v>
      </c>
      <c r="B495" s="8" t="n">
        <v>50</v>
      </c>
      <c r="C495" s="7" t="n">
        <v>1</v>
      </c>
      <c r="D495" s="7" t="s">
        <v>6</v>
      </c>
      <c r="E495" s="7" t="n">
        <v>1</v>
      </c>
      <c r="F495" s="9" t="s">
        <v>11</v>
      </c>
    </row>
    <row r="496" customFormat="false" ht="15" hidden="false" customHeight="false" outlineLevel="0" collapsed="false">
      <c r="A496" s="7" t="n">
        <v>495</v>
      </c>
      <c r="B496" s="8" t="n">
        <v>50</v>
      </c>
      <c r="C496" s="7" t="n">
        <v>0</v>
      </c>
      <c r="D496" s="7" t="s">
        <v>15</v>
      </c>
      <c r="E496" s="7" t="n">
        <v>3</v>
      </c>
      <c r="F496" s="9" t="s">
        <v>10</v>
      </c>
    </row>
    <row r="497" customFormat="false" ht="15" hidden="false" customHeight="false" outlineLevel="0" collapsed="false">
      <c r="A497" s="7" t="n">
        <v>496</v>
      </c>
      <c r="B497" s="8" t="n">
        <v>50</v>
      </c>
      <c r="C497" s="7" t="n">
        <v>0</v>
      </c>
      <c r="D497" s="7" t="s">
        <v>15</v>
      </c>
      <c r="E497" s="7" t="n">
        <v>1</v>
      </c>
      <c r="F497" s="9" t="s">
        <v>11</v>
      </c>
    </row>
    <row r="498" customFormat="false" ht="15" hidden="false" customHeight="false" outlineLevel="0" collapsed="false">
      <c r="A498" s="7" t="n">
        <v>497</v>
      </c>
      <c r="B498" s="8" t="n">
        <v>50</v>
      </c>
      <c r="C498" s="7" t="n">
        <v>0</v>
      </c>
      <c r="D498" s="7" t="s">
        <v>15</v>
      </c>
      <c r="E498" s="7" t="n">
        <v>3</v>
      </c>
      <c r="F498" s="9" t="s">
        <v>10</v>
      </c>
    </row>
    <row r="499" customFormat="false" ht="15" hidden="false" customHeight="false" outlineLevel="0" collapsed="false">
      <c r="A499" s="7" t="n">
        <v>498</v>
      </c>
      <c r="B499" s="8" t="n">
        <v>50</v>
      </c>
      <c r="C499" s="7" t="n">
        <v>1</v>
      </c>
      <c r="D499" s="7" t="s">
        <v>6</v>
      </c>
      <c r="E499" s="7" t="n">
        <v>2</v>
      </c>
      <c r="F499" s="9" t="s">
        <v>7</v>
      </c>
    </row>
    <row r="500" customFormat="false" ht="15" hidden="false" customHeight="false" outlineLevel="0" collapsed="false">
      <c r="A500" s="7" t="n">
        <v>499</v>
      </c>
      <c r="B500" s="8" t="n">
        <v>50</v>
      </c>
      <c r="C500" s="7" t="n">
        <v>1</v>
      </c>
      <c r="D500" s="7" t="s">
        <v>6</v>
      </c>
      <c r="E500" s="7" t="n">
        <v>3</v>
      </c>
      <c r="F500" s="9" t="s">
        <v>10</v>
      </c>
    </row>
    <row r="501" customFormat="false" ht="15" hidden="false" customHeight="false" outlineLevel="0" collapsed="false">
      <c r="A501" s="7" t="n">
        <v>500</v>
      </c>
      <c r="B501" s="12" t="n">
        <v>50</v>
      </c>
      <c r="C501" s="13" t="n">
        <v>0</v>
      </c>
      <c r="D501" s="13" t="s">
        <v>15</v>
      </c>
      <c r="E501" s="13" t="n">
        <v>2</v>
      </c>
      <c r="F501" s="14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5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23.86"/>
    <col collapsed="false" customWidth="true" hidden="false" outlineLevel="0" max="3" min="3" style="1" width="9.71"/>
    <col collapsed="false" customWidth="true" hidden="false" outlineLevel="0" max="4" min="4" style="1" width="18.42"/>
    <col collapsed="false" customWidth="true" hidden="false" outlineLevel="0" max="5" min="5" style="1" width="11.85"/>
    <col collapsed="false" customWidth="true" hidden="false" outlineLevel="0" max="6" min="6" style="1" width="9.71"/>
    <col collapsed="false" customWidth="true" hidden="false" outlineLevel="0" max="7" min="7" style="1" width="18.42"/>
    <col collapsed="false" customWidth="true" hidden="false" outlineLevel="0" max="8" min="8" style="1" width="7.42"/>
    <col collapsed="false" customWidth="true" hidden="false" outlineLevel="0" max="9" min="9" style="1" width="9"/>
    <col collapsed="false" customWidth="true" hidden="false" outlineLevel="0" max="10" min="10" style="1" width="18.42"/>
    <col collapsed="false" customWidth="true" hidden="false" outlineLevel="0" max="11" min="11" style="1" width="7.42"/>
    <col collapsed="false" customWidth="true" hidden="false" outlineLevel="0" max="12" min="12" style="1" width="10"/>
    <col collapsed="false" customWidth="true" hidden="false" outlineLevel="0" max="13" min="13" style="1" width="23"/>
    <col collapsed="false" customWidth="true" hidden="false" outlineLevel="0" max="14" min="14" style="1" width="11.85"/>
    <col collapsed="false" customWidth="true" hidden="false" outlineLevel="0" max="15" min="15" style="1" width="9.71"/>
    <col collapsed="false" customWidth="true" hidden="false" outlineLevel="0" max="16" min="16" style="1" width="18.42"/>
    <col collapsed="false" customWidth="true" hidden="false" outlineLevel="0" max="17" min="17" style="1" width="12.86"/>
    <col collapsed="false" customWidth="true" hidden="false" outlineLevel="0" max="18" min="18" style="1" width="18"/>
    <col collapsed="false" customWidth="true" hidden="false" outlineLevel="0" max="19" min="19" style="1" width="9.71"/>
    <col collapsed="false" customWidth="true" hidden="false" outlineLevel="0" max="20" min="20" style="1" width="18.42"/>
    <col collapsed="false" customWidth="true" hidden="false" outlineLevel="0" max="21" min="21" style="1" width="12.57"/>
    <col collapsed="false" customWidth="true" hidden="false" outlineLevel="0" max="22" min="22" style="1" width="11.85"/>
    <col collapsed="false" customWidth="true" hidden="false" outlineLevel="0" max="23" min="23" style="1" width="9.71"/>
    <col collapsed="false" customWidth="true" hidden="false" outlineLevel="0" max="24" min="24" style="1" width="18.42"/>
    <col collapsed="false" customWidth="true" hidden="false" outlineLevel="0" max="25" min="25" style="1" width="12.86"/>
    <col collapsed="false" customWidth="true" hidden="false" outlineLevel="0" max="26" min="26" style="1" width="7.42"/>
    <col collapsed="false" customWidth="true" hidden="false" outlineLevel="0" max="27" min="27" style="1" width="9"/>
    <col collapsed="false" customWidth="true" hidden="false" outlineLevel="0" max="28" min="28" style="1" width="23"/>
  </cols>
  <sheetData>
    <row r="3" customFormat="false" ht="15" hidden="false" customHeight="false" outlineLevel="0" collapsed="false">
      <c r="A3" s="11" t="s">
        <v>16</v>
      </c>
    </row>
    <row r="5" customFormat="false" ht="15" hidden="false" customHeight="false" outlineLevel="0" collapsed="false">
      <c r="A5" s="15"/>
      <c r="B5" s="16" t="s">
        <v>17</v>
      </c>
      <c r="C5" s="17"/>
      <c r="D5" s="0"/>
      <c r="E5" s="0"/>
      <c r="F5" s="0"/>
      <c r="G5" s="0"/>
      <c r="H5" s="0"/>
      <c r="I5" s="0"/>
    </row>
    <row r="6" customFormat="false" ht="15" hidden="false" customHeight="false" outlineLevel="0" collapsed="false">
      <c r="A6" s="18" t="s">
        <v>1</v>
      </c>
      <c r="B6" s="19" t="s">
        <v>18</v>
      </c>
      <c r="C6" s="20" t="s">
        <v>19</v>
      </c>
      <c r="D6" s="0"/>
      <c r="E6" s="0"/>
      <c r="F6" s="0"/>
      <c r="G6" s="0"/>
      <c r="H6" s="0"/>
      <c r="I6" s="0"/>
    </row>
    <row r="7" customFormat="false" ht="15" hidden="false" customHeight="false" outlineLevel="0" collapsed="false">
      <c r="A7" s="21" t="s">
        <v>20</v>
      </c>
      <c r="B7" s="22"/>
      <c r="C7" s="23"/>
      <c r="D7" s="0"/>
      <c r="E7" s="0"/>
      <c r="F7" s="0"/>
      <c r="G7" s="0"/>
      <c r="H7" s="0"/>
      <c r="I7" s="0"/>
    </row>
    <row r="8" customFormat="false" ht="15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</row>
    <row r="9" customFormat="false" ht="15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</row>
    <row r="10" customFormat="false" ht="1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</row>
    <row r="11" customFormat="false" ht="15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</row>
    <row r="12" customFormat="false" ht="15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</row>
    <row r="13" customFormat="false" ht="15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</row>
    <row r="14" customFormat="false" ht="15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</row>
    <row r="17" customFormat="false" ht="15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</row>
    <row r="18" customFormat="false" ht="15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</row>
    <row r="21" customFormat="false" ht="15" hidden="false" customHeight="false" outlineLevel="0" collapsed="false">
      <c r="A21" s="11" t="s">
        <v>21</v>
      </c>
    </row>
    <row r="23" customFormat="false" ht="15" hidden="false" customHeight="false" outlineLevel="0" collapsed="false">
      <c r="A23" s="24" t="s">
        <v>3</v>
      </c>
      <c r="B23" s="25" t="s">
        <v>22</v>
      </c>
      <c r="C23" s="26" t="s">
        <v>23</v>
      </c>
      <c r="E23" s="27" t="s">
        <v>2</v>
      </c>
      <c r="F23" s="28" t="s">
        <v>24</v>
      </c>
      <c r="G23" s="27" t="s">
        <v>25</v>
      </c>
    </row>
    <row r="24" customFormat="false" ht="15" hidden="false" customHeight="false" outlineLevel="0" collapsed="false">
      <c r="A24" s="29" t="s">
        <v>6</v>
      </c>
      <c r="B24" s="30"/>
      <c r="C24" s="31"/>
      <c r="E24" s="32" t="s">
        <v>6</v>
      </c>
      <c r="F24" s="33" t="n">
        <v>245</v>
      </c>
      <c r="G24" s="34" t="n">
        <v>0.49</v>
      </c>
    </row>
    <row r="25" customFormat="false" ht="15" hidden="false" customHeight="false" outlineLevel="0" collapsed="false">
      <c r="A25" s="35" t="s">
        <v>15</v>
      </c>
      <c r="B25" s="36"/>
      <c r="C25" s="37"/>
      <c r="E25" s="38" t="s">
        <v>15</v>
      </c>
      <c r="F25" s="39" t="n">
        <v>255</v>
      </c>
      <c r="G25" s="40" t="n">
        <v>0.51</v>
      </c>
    </row>
    <row r="26" customFormat="false" ht="15" hidden="false" customHeight="false" outlineLevel="0" collapsed="false">
      <c r="A26" s="21" t="s">
        <v>20</v>
      </c>
      <c r="B26" s="41"/>
      <c r="C26" s="42"/>
      <c r="E26" s="32" t="s">
        <v>26</v>
      </c>
      <c r="F26" s="33" t="n">
        <v>500</v>
      </c>
      <c r="G26" s="34" t="n">
        <v>1</v>
      </c>
    </row>
    <row r="31" customFormat="false" ht="15" hidden="false" customHeight="false" outlineLevel="0" collapsed="false">
      <c r="A31" s="11" t="s">
        <v>27</v>
      </c>
    </row>
    <row r="33" customFormat="false" ht="15" hidden="false" customHeight="false" outlineLevel="0" collapsed="false">
      <c r="A33" s="24" t="s">
        <v>1</v>
      </c>
      <c r="B33" s="25" t="s">
        <v>28</v>
      </c>
      <c r="C33" s="43" t="s">
        <v>29</v>
      </c>
      <c r="D33" s="43" t="s">
        <v>29</v>
      </c>
      <c r="E33" s="26" t="s">
        <v>29</v>
      </c>
      <c r="F33" s="10" t="s">
        <v>14</v>
      </c>
      <c r="G33" s="10" t="s">
        <v>30</v>
      </c>
      <c r="H33" s="10" t="s">
        <v>31</v>
      </c>
      <c r="I33" s="10" t="s">
        <v>32</v>
      </c>
      <c r="J33" s="10" t="s">
        <v>33</v>
      </c>
    </row>
    <row r="34" customFormat="false" ht="15" hidden="false" customHeight="false" outlineLevel="0" collapsed="false">
      <c r="A34" s="29" t="n">
        <v>30</v>
      </c>
      <c r="B34" s="44" t="n">
        <v>750</v>
      </c>
      <c r="C34" s="45" t="n">
        <v>750</v>
      </c>
      <c r="D34" s="45" t="n">
        <v>750</v>
      </c>
      <c r="E34" s="46" t="n">
        <v>750</v>
      </c>
      <c r="F34" s="1" t="n">
        <v>2</v>
      </c>
      <c r="G34" s="10" t="e">
        <f aca="false">(GETPIVOTDATA("Fi%",$A$33,"Age ","[30;32[")/2)*100</f>
        <v>#REF!</v>
      </c>
      <c r="H34" s="10" t="n">
        <f aca="false">(30+32)/2</f>
        <v>31</v>
      </c>
      <c r="I34" s="10" t="e">
        <f aca="false">GETPIVOTDATA("NI",$A$33,"Age ","[30;32[")*H34</f>
        <v>#REF!</v>
      </c>
      <c r="J34" s="10" t="e">
        <f aca="false">GETPIVOTDATA("NI",$A$33,"Age ","[30;32[")*(H34)^2</f>
        <v>#REF!</v>
      </c>
    </row>
    <row r="35" customFormat="false" ht="15" hidden="false" customHeight="false" outlineLevel="0" collapsed="false">
      <c r="A35" s="35" t="n">
        <v>31</v>
      </c>
      <c r="B35" s="47" t="n">
        <v>868</v>
      </c>
      <c r="C35" s="48" t="n">
        <v>868</v>
      </c>
      <c r="D35" s="48" t="n">
        <v>868</v>
      </c>
      <c r="E35" s="49" t="n">
        <v>868</v>
      </c>
      <c r="F35" s="1" t="n">
        <v>2</v>
      </c>
      <c r="G35" s="10" t="e">
        <f aca="false">(GETPIVOTDATA("Fi%",$A$33,"Age ","[32;34[")/2)*100</f>
        <v>#REF!</v>
      </c>
      <c r="H35" s="10" t="n">
        <f aca="false">(32+34)/2</f>
        <v>33</v>
      </c>
      <c r="I35" s="10" t="e">
        <f aca="false">GETPIVOTDATA("NI",$A$33,"Age ","[32;34[")*H35</f>
        <v>#REF!</v>
      </c>
      <c r="J35" s="10" t="e">
        <f aca="false">GETPIVOTDATA("NI",$A$33,"Age ","[32;34[")*(H35)^2</f>
        <v>#REF!</v>
      </c>
    </row>
    <row r="36" customFormat="false" ht="15" hidden="false" customHeight="false" outlineLevel="0" collapsed="false">
      <c r="A36" s="35" t="n">
        <v>32</v>
      </c>
      <c r="B36" s="47" t="n">
        <v>768</v>
      </c>
      <c r="C36" s="48" t="n">
        <v>768</v>
      </c>
      <c r="D36" s="48" t="n">
        <v>768</v>
      </c>
      <c r="E36" s="49" t="n">
        <v>768</v>
      </c>
      <c r="F36" s="1" t="n">
        <v>2</v>
      </c>
      <c r="G36" s="10" t="e">
        <f aca="false">(GETPIVOTDATA("Fi%",$A$33,"Age ","[34;36[")/2)*100</f>
        <v>#REF!</v>
      </c>
      <c r="H36" s="10" t="n">
        <f aca="false">(34+36)/2</f>
        <v>35</v>
      </c>
      <c r="I36" s="10" t="e">
        <f aca="false">GETPIVOTDATA("NI",$A$33,"Age ","[34;36[")*H36</f>
        <v>#REF!</v>
      </c>
      <c r="J36" s="10" t="e">
        <f aca="false">GETPIVOTDATA("NI",$A$33,"Age ","[34;36[")*H36^2</f>
        <v>#REF!</v>
      </c>
    </row>
    <row r="37" customFormat="false" ht="15" hidden="false" customHeight="false" outlineLevel="0" collapsed="false">
      <c r="A37" s="35" t="n">
        <v>33</v>
      </c>
      <c r="B37" s="47" t="n">
        <v>825</v>
      </c>
      <c r="C37" s="48" t="n">
        <v>825</v>
      </c>
      <c r="D37" s="48" t="n">
        <v>825</v>
      </c>
      <c r="E37" s="49" t="n">
        <v>825</v>
      </c>
      <c r="F37" s="1" t="n">
        <v>2</v>
      </c>
      <c r="G37" s="10" t="e">
        <f aca="false">(GETPIVOTDATA("FI%",$A$33,"Age ","[36;38[")/2)*100</f>
        <v>#REF!</v>
      </c>
      <c r="H37" s="10" t="n">
        <f aca="false">(36+38)/2</f>
        <v>37</v>
      </c>
      <c r="I37" s="10" t="e">
        <f aca="false">GETPIVOTDATA("NI",$A$33,"Age ","[36;38[")*H37</f>
        <v>#REF!</v>
      </c>
      <c r="J37" s="10" t="e">
        <f aca="false">GETPIVOTDATA("NI",$A$33,"Age ","[36;38[")*H37^2</f>
        <v>#REF!</v>
      </c>
    </row>
    <row r="38" customFormat="false" ht="15" hidden="false" customHeight="false" outlineLevel="0" collapsed="false">
      <c r="A38" s="35" t="n">
        <v>34</v>
      </c>
      <c r="B38" s="47" t="n">
        <v>850</v>
      </c>
      <c r="C38" s="48" t="n">
        <v>850</v>
      </c>
      <c r="D38" s="48" t="n">
        <v>850</v>
      </c>
      <c r="E38" s="49" t="n">
        <v>850</v>
      </c>
      <c r="F38" s="1" t="n">
        <v>2</v>
      </c>
      <c r="G38" s="10" t="e">
        <f aca="false">(GETPIVOTDATA("Fi%",$A$33,"Age ","[38;40[")/2)*100</f>
        <v>#REF!</v>
      </c>
      <c r="H38" s="10" t="n">
        <f aca="false">(38+40)/2</f>
        <v>39</v>
      </c>
      <c r="I38" s="10" t="e">
        <f aca="false">GETPIVOTDATA("NI",$A$33,"Age ","[38;40[")*H38</f>
        <v>#REF!</v>
      </c>
      <c r="J38" s="10" t="e">
        <f aca="false">GETPIVOTDATA("NI",$A$33,"Age ","[38;40[")*H38^2</f>
        <v>#REF!</v>
      </c>
    </row>
    <row r="39" customFormat="false" ht="15" hidden="false" customHeight="false" outlineLevel="0" collapsed="false">
      <c r="A39" s="35" t="n">
        <v>35</v>
      </c>
      <c r="B39" s="47" t="n">
        <v>1260</v>
      </c>
      <c r="C39" s="48" t="n">
        <v>1260</v>
      </c>
      <c r="D39" s="48" t="n">
        <v>1260</v>
      </c>
      <c r="E39" s="49" t="n">
        <v>1260</v>
      </c>
      <c r="F39" s="1" t="n">
        <v>2</v>
      </c>
      <c r="G39" s="10" t="e">
        <f aca="false">(GETPIVOTDATA("FI%",$A$33,"Age ","[40;42[")/2)*100</f>
        <v>#REF!</v>
      </c>
      <c r="H39" s="10" t="n">
        <f aca="false">(40+42)/2</f>
        <v>41</v>
      </c>
      <c r="I39" s="10" t="e">
        <f aca="false">GETPIVOTDATA("NI",$A$33,"Age ","[40;42[")*H39</f>
        <v>#REF!</v>
      </c>
      <c r="J39" s="10" t="e">
        <f aca="false">GETPIVOTDATA("NI",$A$33,"Age ","[40;42[")*H39^2</f>
        <v>#REF!</v>
      </c>
    </row>
    <row r="40" customFormat="false" ht="15" hidden="false" customHeight="false" outlineLevel="0" collapsed="false">
      <c r="A40" s="35" t="n">
        <v>36</v>
      </c>
      <c r="B40" s="47" t="n">
        <v>648</v>
      </c>
      <c r="C40" s="48" t="n">
        <v>648</v>
      </c>
      <c r="D40" s="48" t="n">
        <v>648</v>
      </c>
      <c r="E40" s="49" t="n">
        <v>648</v>
      </c>
      <c r="F40" s="1" t="n">
        <v>2</v>
      </c>
      <c r="G40" s="10" t="e">
        <f aca="false">GETPIVOTDATA("NI",$A$33,"Age ","[42;44[")/F40</f>
        <v>#REF!</v>
      </c>
      <c r="H40" s="10" t="n">
        <f aca="false">(42+44)/2</f>
        <v>43</v>
      </c>
      <c r="I40" s="10" t="e">
        <f aca="false">GETPIVOTDATA("NI",$A$33,"Age ","[42;44[")*H40</f>
        <v>#REF!</v>
      </c>
      <c r="J40" s="10" t="e">
        <f aca="false">GETPIVOTDATA("NI",$A$33,"Age ","[42;44[")*H40^2</f>
        <v>#REF!</v>
      </c>
    </row>
    <row r="41" customFormat="false" ht="15" hidden="false" customHeight="false" outlineLevel="0" collapsed="false">
      <c r="A41" s="35" t="n">
        <v>37</v>
      </c>
      <c r="B41" s="47" t="n">
        <v>777</v>
      </c>
      <c r="C41" s="48" t="n">
        <v>777</v>
      </c>
      <c r="D41" s="48" t="n">
        <v>777</v>
      </c>
      <c r="E41" s="49" t="n">
        <v>777</v>
      </c>
      <c r="F41" s="1" t="n">
        <v>2</v>
      </c>
      <c r="G41" s="10" t="e">
        <f aca="false">(GETPIVOTDATA("Fi%",$A$33,"Age ","[44;46[")/2)*100</f>
        <v>#REF!</v>
      </c>
      <c r="H41" s="10" t="n">
        <f aca="false">(44+46)/2</f>
        <v>45</v>
      </c>
      <c r="I41" s="10" t="e">
        <f aca="false">GETPIVOTDATA("NI",$A$33,"Age ","[44;46[")*H41</f>
        <v>#REF!</v>
      </c>
      <c r="J41" s="10" t="e">
        <f aca="false">GETPIVOTDATA("NI",$A$33,"Age ","[44;46[")*H41^2</f>
        <v>#REF!</v>
      </c>
    </row>
    <row r="42" customFormat="false" ht="15" hidden="false" customHeight="false" outlineLevel="0" collapsed="false">
      <c r="A42" s="35" t="n">
        <v>38</v>
      </c>
      <c r="B42" s="47" t="n">
        <v>950</v>
      </c>
      <c r="C42" s="48" t="n">
        <v>950</v>
      </c>
      <c r="D42" s="48" t="n">
        <v>950</v>
      </c>
      <c r="E42" s="49" t="n">
        <v>950</v>
      </c>
      <c r="F42" s="1" t="n">
        <v>2</v>
      </c>
      <c r="G42" s="10" t="e">
        <f aca="false">(GETPIVOTDATA("Fi%",$A$33,"Age ","[46;48[")/2)*100</f>
        <v>#REF!</v>
      </c>
      <c r="H42" s="10" t="n">
        <f aca="false">(46+48)/2</f>
        <v>47</v>
      </c>
      <c r="I42" s="10" t="e">
        <f aca="false">GETPIVOTDATA("NI",$A$33,"Age ","[46;48[")*H42</f>
        <v>#REF!</v>
      </c>
      <c r="J42" s="10" t="e">
        <f aca="false">GETPIVOTDATA("NI",$A$33,"Age ","[46;48[")*H42^2</f>
        <v>#REF!</v>
      </c>
    </row>
    <row r="43" customFormat="false" ht="15" hidden="false" customHeight="false" outlineLevel="0" collapsed="false">
      <c r="A43" s="35" t="n">
        <v>39</v>
      </c>
      <c r="B43" s="47" t="n">
        <v>1287</v>
      </c>
      <c r="C43" s="48" t="n">
        <v>1287</v>
      </c>
      <c r="D43" s="48" t="n">
        <v>1287</v>
      </c>
      <c r="E43" s="49" t="n">
        <v>1287</v>
      </c>
      <c r="F43" s="1" t="n">
        <v>3</v>
      </c>
      <c r="G43" s="10" t="e">
        <f aca="false">(GETPIVOTDATA("Fi%",$A$33,"Age ","[48;51[")/2)*100</f>
        <v>#REF!</v>
      </c>
      <c r="H43" s="10" t="n">
        <f aca="false">(48+51)/2</f>
        <v>49.5</v>
      </c>
      <c r="I43" s="10" t="e">
        <f aca="false">GETPIVOTDATA("NI",$A$33,"Age ","[48;51[")*H43</f>
        <v>#REF!</v>
      </c>
      <c r="J43" s="10" t="e">
        <f aca="false">GETPIVOTDATA("NI",$A$33,"Age ","[48;51[")*H43^2</f>
        <v>#REF!</v>
      </c>
    </row>
    <row r="44" customFormat="false" ht="15" hidden="false" customHeight="false" outlineLevel="0" collapsed="false">
      <c r="A44" s="35" t="n">
        <v>40</v>
      </c>
      <c r="B44" s="47" t="n">
        <v>1080</v>
      </c>
      <c r="C44" s="48" t="n">
        <v>1080</v>
      </c>
      <c r="D44" s="48" t="n">
        <v>1080</v>
      </c>
      <c r="E44" s="49" t="n">
        <v>1080</v>
      </c>
    </row>
    <row r="45" customFormat="false" ht="15" hidden="false" customHeight="false" outlineLevel="0" collapsed="false">
      <c r="A45" s="35" t="n">
        <v>41</v>
      </c>
      <c r="B45" s="47" t="n">
        <v>1025</v>
      </c>
      <c r="C45" s="48" t="n">
        <v>1025</v>
      </c>
      <c r="D45" s="48" t="n">
        <v>1025</v>
      </c>
      <c r="E45" s="49" t="n">
        <v>1025</v>
      </c>
    </row>
    <row r="46" customFormat="false" ht="15" hidden="false" customHeight="false" outlineLevel="0" collapsed="false">
      <c r="A46" s="35" t="n">
        <v>42</v>
      </c>
      <c r="B46" s="47" t="n">
        <v>1470</v>
      </c>
      <c r="C46" s="48" t="n">
        <v>1470</v>
      </c>
      <c r="D46" s="48" t="n">
        <v>1470</v>
      </c>
      <c r="E46" s="49" t="n">
        <v>1470</v>
      </c>
    </row>
    <row r="47" customFormat="false" ht="15" hidden="false" customHeight="false" outlineLevel="0" collapsed="false">
      <c r="A47" s="35" t="n">
        <v>43</v>
      </c>
      <c r="B47" s="47" t="n">
        <v>774</v>
      </c>
      <c r="C47" s="48" t="n">
        <v>774</v>
      </c>
      <c r="D47" s="48" t="n">
        <v>774</v>
      </c>
      <c r="E47" s="49" t="n">
        <v>774</v>
      </c>
    </row>
    <row r="48" customFormat="false" ht="15" hidden="false" customHeight="false" outlineLevel="0" collapsed="false">
      <c r="A48" s="35" t="n">
        <v>44</v>
      </c>
      <c r="B48" s="47" t="n">
        <v>572</v>
      </c>
      <c r="C48" s="48" t="n">
        <v>572</v>
      </c>
      <c r="D48" s="48" t="n">
        <v>572</v>
      </c>
      <c r="E48" s="49" t="n">
        <v>572</v>
      </c>
    </row>
    <row r="49" customFormat="false" ht="15" hidden="false" customHeight="false" outlineLevel="0" collapsed="false">
      <c r="A49" s="35" t="n">
        <v>45</v>
      </c>
      <c r="B49" s="47" t="n">
        <v>945</v>
      </c>
      <c r="C49" s="48" t="n">
        <v>945</v>
      </c>
      <c r="D49" s="48" t="n">
        <v>945</v>
      </c>
      <c r="E49" s="49" t="n">
        <v>945</v>
      </c>
      <c r="F49" s="10" t="s">
        <v>14</v>
      </c>
    </row>
    <row r="50" customFormat="false" ht="15" hidden="false" customHeight="false" outlineLevel="0" collapsed="false">
      <c r="A50" s="35" t="n">
        <v>46</v>
      </c>
      <c r="B50" s="47" t="n">
        <v>506</v>
      </c>
      <c r="C50" s="48" t="n">
        <v>506</v>
      </c>
      <c r="D50" s="48" t="n">
        <v>506</v>
      </c>
      <c r="E50" s="49" t="n">
        <v>506</v>
      </c>
      <c r="F50" s="10" t="n">
        <f aca="false">E50/D50</f>
        <v>2.00248907099898</v>
      </c>
    </row>
    <row r="51" customFormat="false" ht="15" hidden="false" customHeight="false" outlineLevel="0" collapsed="false">
      <c r="A51" s="35" t="n">
        <v>47</v>
      </c>
      <c r="B51" s="47" t="n">
        <v>893</v>
      </c>
      <c r="C51" s="48" t="n">
        <v>893</v>
      </c>
      <c r="D51" s="48" t="n">
        <v>893</v>
      </c>
      <c r="E51" s="49" t="n">
        <v>893</v>
      </c>
    </row>
    <row r="52" customFormat="false" ht="15" hidden="false" customHeight="false" outlineLevel="0" collapsed="false">
      <c r="A52" s="35" t="n">
        <v>48</v>
      </c>
      <c r="B52" s="47" t="n">
        <v>768</v>
      </c>
      <c r="C52" s="48" t="n">
        <v>768</v>
      </c>
      <c r="D52" s="48" t="n">
        <v>768</v>
      </c>
      <c r="E52" s="49" t="n">
        <v>768</v>
      </c>
    </row>
    <row r="53" customFormat="false" ht="15" hidden="false" customHeight="false" outlineLevel="0" collapsed="false">
      <c r="A53" s="35" t="n">
        <v>49</v>
      </c>
      <c r="B53" s="47" t="n">
        <v>931</v>
      </c>
      <c r="C53" s="48" t="n">
        <v>931</v>
      </c>
      <c r="D53" s="48" t="n">
        <v>931</v>
      </c>
      <c r="E53" s="49" t="n">
        <v>931</v>
      </c>
    </row>
    <row r="54" customFormat="false" ht="15" hidden="false" customHeight="false" outlineLevel="0" collapsed="false">
      <c r="A54" s="35" t="n">
        <v>50</v>
      </c>
      <c r="B54" s="50" t="n">
        <v>1800</v>
      </c>
      <c r="C54" s="51" t="n">
        <v>1800</v>
      </c>
      <c r="D54" s="51" t="n">
        <v>1800</v>
      </c>
      <c r="E54" s="52" t="n">
        <v>1800</v>
      </c>
    </row>
    <row r="55" customFormat="false" ht="15" hidden="false" customHeight="false" outlineLevel="0" collapsed="false">
      <c r="A55" s="21" t="s">
        <v>20</v>
      </c>
      <c r="B55" s="53" t="n">
        <v>19747</v>
      </c>
      <c r="C55" s="54" t="n">
        <v>19747</v>
      </c>
      <c r="D55" s="54" t="n">
        <v>19747</v>
      </c>
      <c r="E55" s="55" t="n">
        <v>19747</v>
      </c>
    </row>
    <row r="56" customFormat="false" ht="15" hidden="false" customHeight="false" outlineLevel="0" collapsed="false">
      <c r="A56" s="56" t="s">
        <v>34</v>
      </c>
      <c r="B56" s="57" t="e">
        <f aca="false">SQRT(B57)</f>
        <v>#REF!</v>
      </c>
    </row>
    <row r="57" customFormat="false" ht="15" hidden="false" customHeight="false" outlineLevel="0" collapsed="false">
      <c r="A57" s="58" t="s">
        <v>35</v>
      </c>
      <c r="B57" s="59" t="e">
        <f aca="false">((SUM(J34:J43))/B48)-(B55)^2</f>
        <v>#REF!</v>
      </c>
    </row>
    <row r="59" customFormat="false" ht="15" hidden="false" customHeight="false" outlineLevel="0" collapsed="false">
      <c r="A59" s="6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87"/>
  <sheetViews>
    <sheetView showFormulas="false" showGridLines="true" showRowColHeaders="true" showZeros="true" rightToLeft="false" tabSelected="false" showOutlineSymbols="true" defaultGridColor="true" view="normal" topLeftCell="A65" colorId="64" zoomScale="125" zoomScaleNormal="125" zoomScalePageLayoutView="100" workbookViewId="0">
      <selection pane="topLeft" activeCell="A65" activeCellId="0" sqref="A65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1" width="26.29"/>
    <col collapsed="false" customWidth="true" hidden="false" outlineLevel="0" max="4" min="4" style="1" width="20.29"/>
    <col collapsed="false" customWidth="true" hidden="false" outlineLevel="0" max="5" min="5" style="1" width="13.57"/>
    <col collapsed="false" customWidth="true" hidden="false" outlineLevel="0" max="6" min="6" style="1" width="12.86"/>
    <col collapsed="false" customWidth="true" hidden="false" outlineLevel="0" max="8" min="8" style="1" width="20.29"/>
    <col collapsed="false" customWidth="true" hidden="false" outlineLevel="0" max="9" min="9" style="1" width="13.57"/>
    <col collapsed="false" customWidth="true" hidden="false" outlineLevel="0" max="10" min="10" style="1" width="8.29"/>
    <col collapsed="false" customWidth="true" hidden="false" outlineLevel="0" max="11" min="11" style="1" width="10"/>
    <col collapsed="false" customWidth="true" hidden="false" outlineLevel="0" max="12" min="12" style="1" width="18.42"/>
    <col collapsed="false" customWidth="true" hidden="false" outlineLevel="0" max="13" min="13" style="1" width="12.86"/>
    <col collapsed="false" customWidth="true" hidden="false" outlineLevel="0" max="14" min="14" style="1" width="7.86"/>
    <col collapsed="false" customWidth="true" hidden="false" outlineLevel="0" max="15" min="15" style="1" width="9"/>
    <col collapsed="false" customWidth="true" hidden="false" outlineLevel="0" max="16" min="16" style="1" width="23"/>
  </cols>
  <sheetData>
    <row r="4" customFormat="false" ht="15" hidden="false" customHeight="false" outlineLevel="0" collapsed="false">
      <c r="A4" s="11" t="s">
        <v>36</v>
      </c>
    </row>
    <row r="6" customFormat="false" ht="15" hidden="false" customHeight="false" outlineLevel="0" collapsed="false">
      <c r="A6" s="15"/>
      <c r="B6" s="16" t="s">
        <v>17</v>
      </c>
      <c r="C6" s="61"/>
      <c r="D6" s="61"/>
      <c r="E6" s="17"/>
      <c r="F6" s="0"/>
      <c r="H6" s="0"/>
      <c r="I6" s="0"/>
    </row>
    <row r="7" customFormat="false" ht="15" hidden="false" customHeight="false" outlineLevel="0" collapsed="false">
      <c r="A7" s="18" t="s">
        <v>1</v>
      </c>
      <c r="B7" s="19" t="s">
        <v>37</v>
      </c>
      <c r="C7" s="19" t="s">
        <v>38</v>
      </c>
      <c r="D7" s="19" t="s">
        <v>38</v>
      </c>
      <c r="E7" s="20" t="s">
        <v>38</v>
      </c>
      <c r="F7" s="0"/>
      <c r="H7" s="0"/>
      <c r="I7" s="0"/>
      <c r="J7" s="10" t="s">
        <v>14</v>
      </c>
      <c r="K7" s="10" t="s">
        <v>30</v>
      </c>
      <c r="L7" s="10" t="s">
        <v>31</v>
      </c>
      <c r="M7" s="10" t="s">
        <v>32</v>
      </c>
      <c r="N7" s="10" t="s">
        <v>33</v>
      </c>
    </row>
    <row r="8" customFormat="false" ht="15" hidden="false" customHeight="false" outlineLevel="0" collapsed="false">
      <c r="A8" s="21" t="s">
        <v>20</v>
      </c>
      <c r="B8" s="22"/>
      <c r="C8" s="22"/>
      <c r="D8" s="22"/>
      <c r="E8" s="23"/>
      <c r="F8" s="0"/>
      <c r="H8" s="0"/>
      <c r="I8" s="0"/>
    </row>
    <row r="9" customFormat="false" ht="15" hidden="false" customHeight="false" outlineLevel="0" collapsed="false">
      <c r="A9" s="0"/>
      <c r="B9" s="0"/>
      <c r="D9" s="0"/>
      <c r="E9" s="0"/>
      <c r="F9" s="0"/>
      <c r="H9" s="0"/>
      <c r="I9" s="0"/>
      <c r="J9" s="1" t="n">
        <v>2</v>
      </c>
      <c r="K9" s="10" t="n">
        <f aca="false">(GETPIVOTDATA("Fi%",$A$6,"Age ","[30;32[","Sexe_Libelle","Homme")/2)*100</f>
        <v>5.88235294117647</v>
      </c>
      <c r="L9" s="10" t="n">
        <f aca="false">(30+32)/2</f>
        <v>31</v>
      </c>
      <c r="M9" s="10" t="n">
        <f aca="false">GETPIVOTDATA("NI",$A$6,"Age ","[30;32[","Sexe_Libelle","Homme")*L9</f>
        <v>930</v>
      </c>
      <c r="N9" s="10" t="n">
        <f aca="false">GETPIVOTDATA("NI",$A$6,"Age ","[30;32[","Sexe_Libelle","Homme")*L9^2</f>
        <v>28830</v>
      </c>
    </row>
    <row r="10" customFormat="false" ht="15" hidden="false" customHeight="false" outlineLevel="0" collapsed="false">
      <c r="A10" s="0"/>
      <c r="B10" s="0"/>
      <c r="D10" s="0"/>
      <c r="E10" s="0"/>
      <c r="F10" s="0"/>
      <c r="H10" s="0"/>
      <c r="I10" s="0"/>
      <c r="J10" s="1" t="n">
        <v>2</v>
      </c>
      <c r="K10" s="10" t="n">
        <f aca="false">(GETPIVOTDATA("Fi%",$A$6,"Age ","[32;34[","Sexe_Libelle","Homme")/2)*100</f>
        <v>5.49019607843137</v>
      </c>
      <c r="L10" s="10" t="n">
        <f aca="false">(32+34)/2</f>
        <v>33</v>
      </c>
      <c r="M10" s="10" t="n">
        <f aca="false">GETPIVOTDATA("NI",$A$6,"Age ","[32;34[","Sexe_Libelle","Homme")*L10</f>
        <v>924</v>
      </c>
      <c r="N10" s="10" t="n">
        <f aca="false">GETPIVOTDATA("NI",$A$6,"Age ","[32;34[","Sexe_Libelle","Homme")*L10^2</f>
        <v>30492</v>
      </c>
    </row>
    <row r="11" customFormat="false" ht="15" hidden="false" customHeight="false" outlineLevel="0" collapsed="false">
      <c r="A11" s="0"/>
      <c r="B11" s="0"/>
      <c r="D11" s="0"/>
      <c r="E11" s="0"/>
      <c r="F11" s="0"/>
      <c r="H11" s="0"/>
      <c r="I11" s="0"/>
      <c r="J11" s="1" t="n">
        <v>2</v>
      </c>
      <c r="K11" s="10" t="n">
        <f aca="false">(GETPIVOTDATA("Fi%",$A$6,"Age ","[34;36[","Sexe_Libelle","Homme")/2)*100</f>
        <v>5.49019607843137</v>
      </c>
      <c r="L11" s="10" t="n">
        <f aca="false">(34+36)/2</f>
        <v>35</v>
      </c>
      <c r="M11" s="10" t="n">
        <f aca="false">GETPIVOTDATA("NI",$A$6,"Age ","[34;36[","Sexe_Libelle","Homme")*L11</f>
        <v>980</v>
      </c>
      <c r="N11" s="10" t="n">
        <f aca="false">GETPIVOTDATA("NI",$A$6,"Age ","[34;36[","Sexe_Libelle","Homme")*L11^2</f>
        <v>34300</v>
      </c>
    </row>
    <row r="12" customFormat="false" ht="15" hidden="false" customHeight="false" outlineLevel="0" collapsed="false">
      <c r="A12" s="0"/>
      <c r="B12" s="0"/>
      <c r="D12" s="0"/>
      <c r="E12" s="0"/>
      <c r="F12" s="0"/>
      <c r="H12" s="0"/>
      <c r="I12" s="0"/>
      <c r="J12" s="1" t="n">
        <v>2</v>
      </c>
      <c r="K12" s="10" t="n">
        <f aca="false">(GETPIVOTDATA("Fi%",$A$6,"Age ","[36;38[","Sexe_Libelle","Homme")/2)*100</f>
        <v>3.92156862745098</v>
      </c>
      <c r="L12" s="10" t="n">
        <f aca="false">(36+38)/2</f>
        <v>37</v>
      </c>
      <c r="M12" s="10" t="n">
        <f aca="false">GETPIVOTDATA("NI",$A$6,"Age ","[36;38[","Sexe_Libelle","Homme")*L12</f>
        <v>740</v>
      </c>
      <c r="N12" s="10" t="n">
        <f aca="false">GETPIVOTDATA("NI",$A$6,"Age ","[36;38[","Sexe_Libelle","Homme")*L12^2</f>
        <v>27380</v>
      </c>
    </row>
    <row r="13" customFormat="false" ht="15" hidden="false" customHeight="false" outlineLevel="0" collapsed="false">
      <c r="A13" s="0"/>
      <c r="B13" s="0"/>
      <c r="D13" s="0"/>
      <c r="E13" s="0"/>
      <c r="F13" s="0"/>
      <c r="H13" s="0"/>
      <c r="I13" s="0"/>
      <c r="J13" s="1" t="n">
        <v>2</v>
      </c>
      <c r="K13" s="10" t="n">
        <f aca="false">(GETPIVOTDATA("Fi%",$A$6,"Age ","[38;40[","Sexe_Libelle","Homme")/2)*100</f>
        <v>5.88235294117647</v>
      </c>
      <c r="L13" s="10" t="n">
        <f aca="false">(38+40)/2</f>
        <v>39</v>
      </c>
      <c r="M13" s="10" t="n">
        <f aca="false">GETPIVOTDATA("NI",$A$6,"Age ","[38;40[","Sexe_Libelle","Homme")*L13</f>
        <v>1170</v>
      </c>
      <c r="N13" s="10" t="n">
        <f aca="false">GETPIVOTDATA("NI",$A$6,"Age ","[38;40[","Sexe_Libelle","Homme")*L13^2</f>
        <v>45630</v>
      </c>
    </row>
    <row r="14" customFormat="false" ht="15" hidden="false" customHeight="false" outlineLevel="0" collapsed="false">
      <c r="A14" s="0"/>
      <c r="B14" s="0"/>
      <c r="D14" s="0"/>
      <c r="E14" s="0"/>
      <c r="F14" s="0"/>
      <c r="H14" s="0"/>
      <c r="I14" s="0"/>
      <c r="J14" s="1" t="n">
        <v>2</v>
      </c>
      <c r="K14" s="10" t="n">
        <f aca="false">(GETPIVOTDATA("Fi%",$A$6,"Age ","[40;42[","Sexe_Libelle","Homme")/2)*100</f>
        <v>5.88235294117647</v>
      </c>
      <c r="L14" s="10" t="n">
        <f aca="false">(40+42)/2</f>
        <v>41</v>
      </c>
      <c r="M14" s="10" t="n">
        <f aca="false">GETPIVOTDATA("NI",$A$6,"Age ","[40;42[","Sexe_Libelle","Homme")*L14</f>
        <v>1230</v>
      </c>
      <c r="N14" s="10" t="n">
        <f aca="false">GETPIVOTDATA("NI",$A$6,"Age ","[40;42[","Sexe_Libelle","Homme")*L14^2</f>
        <v>50430</v>
      </c>
    </row>
    <row r="15" customFormat="false" ht="15" hidden="false" customHeight="false" outlineLevel="0" collapsed="false">
      <c r="A15" s="0"/>
      <c r="B15" s="0"/>
      <c r="D15" s="0"/>
      <c r="E15" s="0"/>
      <c r="F15" s="0"/>
      <c r="H15" s="0"/>
      <c r="I15" s="0"/>
      <c r="J15" s="1" t="n">
        <v>2</v>
      </c>
      <c r="K15" s="10" t="n">
        <f aca="false">(GETPIVOTDATA("Fi%",$A$6,"Age ","[42;44[","Sexe_Libelle","Homme")/2)*100</f>
        <v>4.11764705882353</v>
      </c>
      <c r="L15" s="10" t="n">
        <f aca="false">(42+44)/2</f>
        <v>43</v>
      </c>
      <c r="M15" s="10" t="n">
        <f aca="false">GETPIVOTDATA("NI",$A$6,"Age ","[42;44[","Sexe_Libelle","Homme")*L15</f>
        <v>903</v>
      </c>
      <c r="N15" s="10" t="n">
        <f aca="false">GETPIVOTDATA("NI",$A$6,"Age ","[42;44[","Sexe_Libelle","Homme")*L15^2</f>
        <v>38829</v>
      </c>
    </row>
    <row r="16" customFormat="false" ht="15" hidden="false" customHeight="false" outlineLevel="0" collapsed="false">
      <c r="A16" s="0"/>
      <c r="B16" s="0"/>
      <c r="D16" s="0"/>
      <c r="E16" s="0"/>
      <c r="F16" s="0"/>
      <c r="H16" s="0"/>
      <c r="I16" s="0"/>
      <c r="J16" s="1" t="n">
        <v>2</v>
      </c>
      <c r="K16" s="10" t="n">
        <f aca="false">(GETPIVOTDATA("Fi%",$A$6,"Age ","[44;46[","Sexe_Libelle","Homme")/2)*100</f>
        <v>3.33333333333333</v>
      </c>
      <c r="L16" s="10" t="n">
        <f aca="false">(44+46)/2</f>
        <v>45</v>
      </c>
      <c r="M16" s="10" t="n">
        <f aca="false">GETPIVOTDATA("NI",$A$6,"Age ","[44;46[","Sexe_Libelle","Homme")*L16</f>
        <v>765</v>
      </c>
      <c r="N16" s="10" t="n">
        <f aca="false">GETPIVOTDATA("NI",$A$6,"Age ","[44;46[","Sexe_Libelle","Homme")*L16^2</f>
        <v>34425</v>
      </c>
    </row>
    <row r="17" customFormat="false" ht="15" hidden="false" customHeight="false" outlineLevel="0" collapsed="false">
      <c r="A17" s="0"/>
      <c r="B17" s="0"/>
      <c r="D17" s="0"/>
      <c r="E17" s="0"/>
      <c r="F17" s="0"/>
      <c r="H17" s="0"/>
      <c r="I17" s="0"/>
      <c r="J17" s="1" t="n">
        <v>2</v>
      </c>
      <c r="K17" s="10" t="n">
        <f aca="false">(GETPIVOTDATA("Fi%",$A$6,"Age ","[46;48[","Sexe_Libelle","Homme")/2)*100</f>
        <v>2.15686274509804</v>
      </c>
      <c r="L17" s="10" t="n">
        <f aca="false">(46+48)/2</f>
        <v>47</v>
      </c>
      <c r="M17" s="10" t="n">
        <f aca="false">GETPIVOTDATA("NI",$A$6,"Age ","[46;48[","Sexe_Libelle","Homme")*L17</f>
        <v>517</v>
      </c>
      <c r="N17" s="10" t="n">
        <f aca="false">GETPIVOTDATA("NI",$A$6,"Age ","[46;48[","Sexe_Libelle","Homme")*L17^2</f>
        <v>24299</v>
      </c>
    </row>
    <row r="18" customFormat="false" ht="15" hidden="false" customHeight="false" outlineLevel="0" collapsed="false">
      <c r="A18" s="0"/>
      <c r="B18" s="0"/>
      <c r="D18" s="0"/>
      <c r="E18" s="0"/>
      <c r="F18" s="0"/>
      <c r="H18" s="0"/>
      <c r="I18" s="0"/>
      <c r="J18" s="1" t="n">
        <v>2</v>
      </c>
      <c r="K18" s="10" t="n">
        <f aca="false">(GETPIVOTDATA("Fi%",$A$6,"Age ","[48;51[","Sexe_Libelle","Homme")/2)*100</f>
        <v>7.84313725490196</v>
      </c>
      <c r="L18" s="10" t="n">
        <f aca="false">(48+51)/2</f>
        <v>49.5</v>
      </c>
      <c r="M18" s="10" t="n">
        <f aca="false">GETPIVOTDATA("NI",$A$6,"Age ","[48;51[","Sexe_Libelle","Homme")*L18</f>
        <v>1980</v>
      </c>
      <c r="N18" s="10" t="n">
        <f aca="false">GETPIVOTDATA("NI",$A$6,"Age ","[48;51[","Sexe_Libelle","Homme")*L18^2</f>
        <v>98010</v>
      </c>
    </row>
    <row r="19" customFormat="false" ht="15" hidden="false" customHeight="false" outlineLevel="0" collapsed="false">
      <c r="A19" s="0"/>
      <c r="B19" s="0"/>
      <c r="D19" s="0"/>
      <c r="E19" s="0"/>
      <c r="F19" s="0"/>
      <c r="H19" s="0"/>
      <c r="I19" s="0"/>
    </row>
    <row r="23" customFormat="false" ht="15" hidden="false" customHeight="false" outlineLevel="0" collapsed="false">
      <c r="A23" s="58" t="s">
        <v>39</v>
      </c>
      <c r="B23" s="62" t="s">
        <v>40</v>
      </c>
      <c r="D23" s="11" t="s">
        <v>9</v>
      </c>
    </row>
    <row r="24" customFormat="false" ht="15" hidden="false" customHeight="false" outlineLevel="0" collapsed="false">
      <c r="A24" s="56" t="s">
        <v>41</v>
      </c>
      <c r="B24" s="57" t="n">
        <f aca="false">GETPIVOTDATA("NI",$A$6,"Sexe_Libelle","Homme")</f>
        <v>255</v>
      </c>
    </row>
    <row r="25" customFormat="false" ht="15" hidden="false" customHeight="false" outlineLevel="0" collapsed="false">
      <c r="A25" s="58" t="s">
        <v>42</v>
      </c>
      <c r="B25" s="59" t="n">
        <v>39</v>
      </c>
      <c r="D25" s="10" t="s">
        <v>12</v>
      </c>
      <c r="E25" s="10" t="s">
        <v>13</v>
      </c>
      <c r="F25" s="10" t="s">
        <v>14</v>
      </c>
    </row>
    <row r="26" customFormat="false" ht="15" hidden="false" customHeight="false" outlineLevel="0" collapsed="false">
      <c r="A26" s="56" t="s">
        <v>43</v>
      </c>
      <c r="B26" s="57" t="n">
        <v>33.4</v>
      </c>
      <c r="D26" s="10" t="n">
        <f aca="false">1+3.33*LOG(500)</f>
        <v>9.98757011443894</v>
      </c>
      <c r="E26" s="10" t="n">
        <f aca="false">MAX(Tableau1[[Age ]])-MIN(Tableau1[[Age ]])</f>
        <v>20</v>
      </c>
      <c r="F26" s="10" t="n">
        <f aca="false">E26/D26</f>
        <v>2.00248907099898</v>
      </c>
    </row>
    <row r="27" customFormat="false" ht="15" hidden="false" customHeight="false" outlineLevel="0" collapsed="false">
      <c r="A27" s="58" t="s">
        <v>44</v>
      </c>
      <c r="B27" s="59" t="n">
        <v>39</v>
      </c>
    </row>
    <row r="28" customFormat="false" ht="15" hidden="false" customHeight="false" outlineLevel="0" collapsed="false">
      <c r="A28" s="56" t="s">
        <v>45</v>
      </c>
      <c r="B28" s="63" t="n">
        <f aca="false">(B32/B31)</f>
        <v>0.153432515511485</v>
      </c>
    </row>
    <row r="29" customFormat="false" ht="15" hidden="false" customHeight="false" outlineLevel="0" collapsed="false">
      <c r="A29" s="58" t="s">
        <v>46</v>
      </c>
      <c r="B29" s="62" t="n">
        <v>33.45</v>
      </c>
    </row>
    <row r="30" customFormat="false" ht="15" hidden="false" customHeight="false" outlineLevel="0" collapsed="false">
      <c r="A30" s="56" t="s">
        <v>47</v>
      </c>
      <c r="B30" s="64" t="n">
        <v>0.5776</v>
      </c>
    </row>
    <row r="31" customFormat="false" ht="15" hidden="false" customHeight="false" outlineLevel="0" collapsed="false">
      <c r="A31" s="58" t="s">
        <v>48</v>
      </c>
      <c r="B31" s="59" t="n">
        <f aca="false">SUM(M9:M18)*(1/B24)</f>
        <v>39.7607843137255</v>
      </c>
    </row>
    <row r="32" customFormat="false" ht="15" hidden="false" customHeight="false" outlineLevel="0" collapsed="false">
      <c r="A32" s="56" t="s">
        <v>34</v>
      </c>
      <c r="B32" s="57" t="n">
        <f aca="false">SQRT(B33)</f>
        <v>6.10059715596449</v>
      </c>
    </row>
    <row r="33" customFormat="false" ht="15" hidden="false" customHeight="false" outlineLevel="0" collapsed="false">
      <c r="A33" s="58" t="s">
        <v>35</v>
      </c>
      <c r="B33" s="59" t="n">
        <f aca="false">((SUM(N9:N18))/B24)-(B31)^2</f>
        <v>37.217285659362</v>
      </c>
    </row>
    <row r="35" customFormat="false" ht="15" hidden="false" customHeight="false" outlineLevel="0" collapsed="false">
      <c r="A35" s="11" t="s">
        <v>49</v>
      </c>
    </row>
    <row r="37" customFormat="false" ht="15" hidden="false" customHeight="false" outlineLevel="0" collapsed="false">
      <c r="A37" s="15" t="s">
        <v>50</v>
      </c>
      <c r="B37" s="65" t="s">
        <v>3</v>
      </c>
      <c r="D37" s="0"/>
      <c r="E37" s="0"/>
      <c r="F37" s="0"/>
    </row>
    <row r="38" customFormat="false" ht="15" hidden="false" customHeight="false" outlineLevel="0" collapsed="false">
      <c r="A38" s="18" t="s">
        <v>1</v>
      </c>
      <c r="B38" s="20" t="s">
        <v>20</v>
      </c>
      <c r="D38" s="0"/>
      <c r="E38" s="0"/>
      <c r="F38" s="0"/>
    </row>
    <row r="39" customFormat="false" ht="15" hidden="false" customHeight="false" outlineLevel="0" collapsed="false">
      <c r="A39" s="21" t="s">
        <v>20</v>
      </c>
      <c r="B39" s="23"/>
      <c r="D39" s="0"/>
      <c r="E39" s="0"/>
      <c r="F39" s="0"/>
    </row>
    <row r="40" customFormat="false" ht="15" hidden="false" customHeight="false" outlineLevel="0" collapsed="false">
      <c r="A40" s="0"/>
      <c r="B40" s="0"/>
      <c r="D40" s="0"/>
      <c r="E40" s="0"/>
      <c r="F40" s="0"/>
    </row>
    <row r="41" customFormat="false" ht="15" hidden="false" customHeight="false" outlineLevel="0" collapsed="false">
      <c r="A41" s="0"/>
      <c r="B41" s="0"/>
      <c r="D41" s="0"/>
      <c r="E41" s="0"/>
      <c r="F41" s="0"/>
    </row>
    <row r="42" customFormat="false" ht="15" hidden="false" customHeight="false" outlineLevel="0" collapsed="false">
      <c r="A42" s="0"/>
      <c r="B42" s="0"/>
      <c r="D42" s="0"/>
      <c r="E42" s="0"/>
      <c r="F42" s="0"/>
    </row>
    <row r="43" customFormat="false" ht="15" hidden="false" customHeight="false" outlineLevel="0" collapsed="false">
      <c r="A43" s="0"/>
      <c r="B43" s="0"/>
      <c r="D43" s="0"/>
      <c r="E43" s="0"/>
      <c r="F43" s="0"/>
    </row>
    <row r="44" customFormat="false" ht="15" hidden="false" customHeight="false" outlineLevel="0" collapsed="false">
      <c r="A44" s="0"/>
      <c r="B44" s="0"/>
      <c r="D44" s="0"/>
      <c r="E44" s="0"/>
      <c r="F44" s="0"/>
    </row>
    <row r="45" customFormat="false" ht="15" hidden="false" customHeight="false" outlineLevel="0" collapsed="false">
      <c r="A45" s="0"/>
      <c r="B45" s="0"/>
      <c r="D45" s="0"/>
      <c r="E45" s="0"/>
      <c r="F45" s="0"/>
    </row>
    <row r="46" customFormat="false" ht="15" hidden="false" customHeight="false" outlineLevel="0" collapsed="false">
      <c r="A46" s="0"/>
      <c r="B46" s="0"/>
      <c r="D46" s="0"/>
      <c r="E46" s="0"/>
      <c r="F46" s="0"/>
    </row>
    <row r="47" customFormat="false" ht="15" hidden="false" customHeight="false" outlineLevel="0" collapsed="false">
      <c r="A47" s="0"/>
      <c r="B47" s="0"/>
      <c r="D47" s="0"/>
      <c r="E47" s="0"/>
      <c r="F47" s="0"/>
    </row>
    <row r="48" customFormat="false" ht="15" hidden="false" customHeight="false" outlineLevel="0" collapsed="false">
      <c r="A48" s="0"/>
      <c r="B48" s="0"/>
      <c r="D48" s="0"/>
      <c r="E48" s="0"/>
      <c r="F48" s="0"/>
    </row>
    <row r="49" customFormat="false" ht="15" hidden="false" customHeight="false" outlineLevel="0" collapsed="false">
      <c r="A49" s="0"/>
      <c r="B49" s="0"/>
      <c r="D49" s="0"/>
      <c r="E49" s="0"/>
      <c r="F49" s="0"/>
    </row>
    <row r="50" customFormat="false" ht="15" hidden="false" customHeight="false" outlineLevel="0" collapsed="false">
      <c r="A50" s="0"/>
      <c r="B50" s="0"/>
      <c r="D50" s="0"/>
      <c r="E50" s="0"/>
      <c r="F50" s="0"/>
    </row>
    <row r="53" customFormat="false" ht="15" hidden="false" customHeight="false" outlineLevel="0" collapsed="false">
      <c r="A53" s="11" t="s">
        <v>51</v>
      </c>
    </row>
    <row r="55" customFormat="false" ht="15" hidden="false" customHeight="false" outlineLevel="0" collapsed="false">
      <c r="A55" s="33" t="s">
        <v>39</v>
      </c>
      <c r="B55" s="33" t="s">
        <v>7</v>
      </c>
      <c r="C55" s="66" t="s">
        <v>11</v>
      </c>
      <c r="D55" s="66" t="s">
        <v>10</v>
      </c>
    </row>
    <row r="56" customFormat="false" ht="15" hidden="false" customHeight="false" outlineLevel="0" collapsed="false">
      <c r="A56" s="67" t="s">
        <v>52</v>
      </c>
      <c r="B56" s="33" t="n">
        <v>12</v>
      </c>
      <c r="C56" s="66" t="n">
        <v>8</v>
      </c>
      <c r="D56" s="66" t="n">
        <v>10</v>
      </c>
    </row>
    <row r="57" customFormat="false" ht="15" hidden="false" customHeight="false" outlineLevel="0" collapsed="false">
      <c r="A57" s="68" t="s">
        <v>53</v>
      </c>
      <c r="B57" s="39" t="n">
        <v>12</v>
      </c>
      <c r="C57" s="69" t="n">
        <v>6</v>
      </c>
      <c r="D57" s="69" t="n">
        <v>10</v>
      </c>
    </row>
    <row r="58" customFormat="false" ht="15" hidden="false" customHeight="false" outlineLevel="0" collapsed="false">
      <c r="A58" s="68" t="s">
        <v>54</v>
      </c>
      <c r="B58" s="39" t="n">
        <v>9</v>
      </c>
      <c r="C58" s="69" t="n">
        <v>10</v>
      </c>
      <c r="D58" s="69" t="n">
        <v>9</v>
      </c>
    </row>
    <row r="59" customFormat="false" ht="15" hidden="false" customHeight="false" outlineLevel="0" collapsed="false">
      <c r="A59" s="68" t="s">
        <v>55</v>
      </c>
      <c r="B59" s="39" t="n">
        <v>5</v>
      </c>
      <c r="C59" s="69" t="n">
        <v>11</v>
      </c>
      <c r="D59" s="69" t="n">
        <v>4</v>
      </c>
    </row>
    <row r="60" customFormat="false" ht="15" hidden="false" customHeight="false" outlineLevel="0" collapsed="false">
      <c r="A60" s="68" t="s">
        <v>56</v>
      </c>
      <c r="B60" s="39" t="n">
        <v>11</v>
      </c>
      <c r="C60" s="69" t="n">
        <v>11</v>
      </c>
      <c r="D60" s="69" t="n">
        <v>8</v>
      </c>
    </row>
    <row r="61" customFormat="false" ht="15" hidden="false" customHeight="false" outlineLevel="0" collapsed="false">
      <c r="A61" s="68" t="s">
        <v>57</v>
      </c>
      <c r="B61" s="39" t="n">
        <v>9</v>
      </c>
      <c r="C61" s="69" t="n">
        <v>8</v>
      </c>
      <c r="D61" s="69" t="n">
        <v>13</v>
      </c>
    </row>
    <row r="62" customFormat="false" ht="15" hidden="false" customHeight="false" outlineLevel="0" collapsed="false">
      <c r="A62" s="68" t="s">
        <v>58</v>
      </c>
      <c r="B62" s="39" t="n">
        <v>1</v>
      </c>
      <c r="C62" s="69" t="n">
        <v>9</v>
      </c>
      <c r="D62" s="69" t="n">
        <v>11</v>
      </c>
    </row>
    <row r="63" customFormat="false" ht="15" hidden="false" customHeight="false" outlineLevel="0" collapsed="false">
      <c r="A63" s="68" t="s">
        <v>59</v>
      </c>
      <c r="B63" s="39" t="n">
        <v>5</v>
      </c>
      <c r="C63" s="69" t="n">
        <v>6</v>
      </c>
      <c r="D63" s="69" t="n">
        <v>6</v>
      </c>
    </row>
    <row r="64" customFormat="false" ht="15" hidden="false" customHeight="false" outlineLevel="0" collapsed="false">
      <c r="A64" s="68" t="s">
        <v>60</v>
      </c>
      <c r="B64" s="39" t="n">
        <v>4</v>
      </c>
      <c r="C64" s="69" t="n">
        <v>3</v>
      </c>
      <c r="D64" s="69" t="n">
        <v>4</v>
      </c>
    </row>
    <row r="65" customFormat="false" ht="15" hidden="false" customHeight="false" outlineLevel="0" collapsed="false">
      <c r="A65" s="68" t="s">
        <v>61</v>
      </c>
      <c r="B65" s="39" t="n">
        <v>10</v>
      </c>
      <c r="C65" s="69" t="n">
        <v>14</v>
      </c>
      <c r="D65" s="69" t="n">
        <v>16</v>
      </c>
    </row>
    <row r="66" customFormat="false" ht="15" hidden="false" customHeight="false" outlineLevel="0" collapsed="false">
      <c r="A66" s="70" t="s">
        <v>26</v>
      </c>
      <c r="B66" s="71" t="n">
        <v>78</v>
      </c>
      <c r="C66" s="72" t="n">
        <v>86</v>
      </c>
      <c r="D66" s="72" t="n">
        <v>91</v>
      </c>
    </row>
    <row r="68" customFormat="false" ht="15" hidden="false" customHeight="false" outlineLevel="0" collapsed="false">
      <c r="A68" s="11" t="s">
        <v>62</v>
      </c>
    </row>
    <row r="70" customFormat="false" ht="15" hidden="false" customHeight="false" outlineLevel="0" collapsed="false">
      <c r="A70" s="15"/>
      <c r="B70" s="16" t="s">
        <v>17</v>
      </c>
      <c r="C70" s="17"/>
      <c r="D70" s="0"/>
      <c r="E70" s="0"/>
      <c r="F70" s="0"/>
      <c r="H70" s="0"/>
      <c r="I70" s="0"/>
      <c r="J70" s="0"/>
      <c r="K70" s="0"/>
    </row>
    <row r="71" customFormat="false" ht="15" hidden="false" customHeight="false" outlineLevel="0" collapsed="false">
      <c r="A71" s="18" t="s">
        <v>1</v>
      </c>
      <c r="B71" s="19" t="s">
        <v>18</v>
      </c>
      <c r="C71" s="20" t="s">
        <v>19</v>
      </c>
      <c r="D71" s="0"/>
      <c r="E71" s="0"/>
      <c r="F71" s="0"/>
      <c r="H71" s="0"/>
      <c r="I71" s="0"/>
      <c r="J71" s="0"/>
      <c r="K71" s="0"/>
    </row>
    <row r="72" customFormat="false" ht="15" hidden="false" customHeight="false" outlineLevel="0" collapsed="false">
      <c r="A72" s="21" t="s">
        <v>20</v>
      </c>
      <c r="B72" s="22"/>
      <c r="C72" s="23"/>
      <c r="D72" s="0"/>
      <c r="E72" s="0"/>
      <c r="F72" s="0"/>
      <c r="H72" s="0"/>
      <c r="I72" s="0"/>
      <c r="J72" s="0"/>
      <c r="K72" s="0"/>
    </row>
    <row r="73" customFormat="false" ht="15" hidden="false" customHeight="false" outlineLevel="0" collapsed="false">
      <c r="A73" s="0"/>
      <c r="B73" s="0"/>
      <c r="D73" s="0"/>
      <c r="E73" s="0"/>
      <c r="F73" s="0"/>
      <c r="H73" s="0"/>
      <c r="I73" s="0"/>
      <c r="J73" s="0"/>
      <c r="K73" s="0"/>
    </row>
    <row r="74" customFormat="false" ht="15" hidden="false" customHeight="false" outlineLevel="0" collapsed="false">
      <c r="A74" s="0"/>
      <c r="B74" s="0"/>
      <c r="D74" s="0"/>
      <c r="E74" s="0"/>
      <c r="F74" s="0"/>
      <c r="H74" s="0"/>
      <c r="I74" s="0"/>
      <c r="J74" s="0"/>
      <c r="K74" s="0"/>
    </row>
    <row r="75" customFormat="false" ht="15" hidden="false" customHeight="false" outlineLevel="0" collapsed="false">
      <c r="A75" s="0"/>
      <c r="B75" s="0"/>
      <c r="D75" s="0"/>
      <c r="E75" s="0"/>
      <c r="F75" s="0"/>
      <c r="H75" s="0"/>
      <c r="I75" s="0"/>
      <c r="J75" s="0"/>
      <c r="K75" s="0"/>
    </row>
    <row r="76" customFormat="false" ht="15" hidden="false" customHeight="false" outlineLevel="0" collapsed="false">
      <c r="A76" s="0"/>
      <c r="B76" s="0"/>
      <c r="D76" s="0"/>
      <c r="E76" s="0"/>
      <c r="F76" s="0"/>
      <c r="H76" s="0"/>
      <c r="I76" s="0"/>
      <c r="J76" s="0"/>
      <c r="K76" s="0"/>
    </row>
    <row r="77" customFormat="false" ht="15" hidden="false" customHeight="false" outlineLevel="0" collapsed="false">
      <c r="A77" s="0"/>
      <c r="B77" s="0"/>
      <c r="D77" s="0"/>
      <c r="E77" s="0"/>
      <c r="F77" s="0"/>
      <c r="H77" s="0"/>
      <c r="I77" s="0"/>
      <c r="J77" s="0"/>
      <c r="K77" s="0"/>
    </row>
    <row r="78" customFormat="false" ht="15" hidden="false" customHeight="false" outlineLevel="0" collapsed="false">
      <c r="A78" s="0"/>
      <c r="B78" s="0"/>
      <c r="D78" s="0"/>
      <c r="E78" s="0"/>
      <c r="F78" s="0"/>
      <c r="H78" s="0"/>
      <c r="I78" s="0"/>
      <c r="J78" s="0"/>
      <c r="K78" s="0"/>
    </row>
    <row r="79" customFormat="false" ht="15" hidden="false" customHeight="false" outlineLevel="0" collapsed="false">
      <c r="A79" s="0"/>
      <c r="B79" s="0"/>
      <c r="D79" s="0"/>
      <c r="E79" s="0"/>
      <c r="F79" s="0"/>
      <c r="H79" s="0"/>
      <c r="I79" s="0"/>
      <c r="J79" s="0"/>
      <c r="K79" s="0"/>
    </row>
    <row r="80" customFormat="false" ht="15" hidden="false" customHeight="false" outlineLevel="0" collapsed="false">
      <c r="A80" s="0"/>
      <c r="B80" s="0"/>
      <c r="D80" s="0"/>
      <c r="E80" s="0"/>
      <c r="F80" s="0"/>
      <c r="H80" s="0"/>
      <c r="I80" s="0"/>
      <c r="J80" s="0"/>
      <c r="K80" s="0"/>
    </row>
    <row r="81" customFormat="false" ht="15" hidden="false" customHeight="false" outlineLevel="0" collapsed="false">
      <c r="A81" s="0"/>
      <c r="B81" s="0"/>
      <c r="D81" s="0"/>
      <c r="E81" s="0"/>
      <c r="F81" s="0"/>
      <c r="H81" s="0"/>
      <c r="I81" s="0"/>
      <c r="J81" s="0"/>
      <c r="K81" s="0"/>
    </row>
    <row r="82" customFormat="false" ht="15" hidden="false" customHeight="false" outlineLevel="0" collapsed="false">
      <c r="A82" s="0"/>
      <c r="B82" s="0"/>
      <c r="D82" s="0"/>
      <c r="E82" s="0"/>
      <c r="F82" s="0"/>
      <c r="H82" s="0"/>
      <c r="I82" s="0"/>
      <c r="J82" s="0"/>
      <c r="K82" s="0"/>
    </row>
    <row r="83" customFormat="false" ht="15" hidden="false" customHeight="false" outlineLevel="0" collapsed="false">
      <c r="A83" s="0"/>
      <c r="B83" s="0"/>
      <c r="D83" s="0"/>
      <c r="E83" s="0"/>
      <c r="F83" s="0"/>
      <c r="H83" s="0"/>
      <c r="I83" s="0"/>
      <c r="J83" s="0"/>
      <c r="K83" s="0"/>
    </row>
    <row r="84" customFormat="false" ht="15" hidden="false" customHeight="false" outlineLevel="0" collapsed="false">
      <c r="A84" s="0"/>
      <c r="B84" s="0"/>
      <c r="D84" s="0"/>
      <c r="E84" s="0"/>
      <c r="F84" s="0"/>
      <c r="H84" s="0"/>
      <c r="I84" s="0"/>
      <c r="J84" s="0"/>
      <c r="K84" s="0"/>
    </row>
    <row r="87" customFormat="false" ht="15" hidden="false" customHeight="false" outlineLevel="0" collapsed="false">
      <c r="A8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N58"/>
  <sheetViews>
    <sheetView showFormulas="false" showGridLines="true" showRowColHeaders="true" showZeros="true" rightToLeft="false" tabSelected="false" showOutlineSymbols="true" defaultGridColor="true" view="normal" topLeftCell="A33" colorId="64" zoomScale="125" zoomScaleNormal="125" zoomScalePageLayoutView="100" workbookViewId="0">
      <selection pane="topLeft" activeCell="A33" activeCellId="0" sqref="A33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23.86"/>
    <col collapsed="false" customWidth="true" hidden="false" outlineLevel="0" max="3" min="3" style="1" width="9.71"/>
    <col collapsed="false" customWidth="true" hidden="false" outlineLevel="0" max="4" min="4" style="1" width="18.42"/>
    <col collapsed="false" customWidth="true" hidden="false" outlineLevel="0" max="5" min="5" style="1" width="17"/>
    <col collapsed="false" customWidth="true" hidden="false" outlineLevel="0" max="6" min="6" style="1" width="12"/>
    <col collapsed="false" customWidth="true" hidden="false" outlineLevel="0" max="7" min="7" style="1" width="13.86"/>
    <col collapsed="false" customWidth="true" hidden="false" outlineLevel="0" max="8" min="8" style="1" width="21.43"/>
    <col collapsed="false" customWidth="true" hidden="false" outlineLevel="0" max="9" min="9" style="1" width="23.29"/>
    <col collapsed="false" customWidth="true" hidden="false" outlineLevel="0" max="10" min="10" style="1" width="14.71"/>
    <col collapsed="false" customWidth="true" hidden="false" outlineLevel="0" max="11" min="11" style="1" width="12"/>
    <col collapsed="false" customWidth="true" hidden="false" outlineLevel="0" max="12" min="12" style="1" width="18.42"/>
    <col collapsed="false" customWidth="true" hidden="false" outlineLevel="0" max="13" min="13" style="1" width="12.57"/>
    <col collapsed="false" customWidth="true" hidden="false" outlineLevel="0" max="14" min="14" style="1" width="10.14"/>
    <col collapsed="false" customWidth="true" hidden="false" outlineLevel="0" max="15" min="15" style="1" width="9"/>
    <col collapsed="false" customWidth="true" hidden="false" outlineLevel="0" max="16" min="16" style="1" width="23"/>
  </cols>
  <sheetData>
    <row r="4" customFormat="false" ht="15" hidden="false" customHeight="false" outlineLevel="0" collapsed="false">
      <c r="A4" s="11" t="s">
        <v>63</v>
      </c>
    </row>
    <row r="6" customFormat="false" ht="15" hidden="false" customHeight="false" outlineLevel="0" collapsed="false">
      <c r="A6" s="15"/>
      <c r="B6" s="16" t="s">
        <v>17</v>
      </c>
      <c r="C6" s="61"/>
      <c r="D6" s="61"/>
      <c r="E6" s="17"/>
      <c r="F6" s="0"/>
      <c r="G6" s="0"/>
      <c r="H6" s="0"/>
      <c r="I6" s="0"/>
    </row>
    <row r="7" customFormat="false" ht="15" hidden="false" customHeight="false" outlineLevel="0" collapsed="false">
      <c r="A7" s="18" t="s">
        <v>1</v>
      </c>
      <c r="B7" s="19" t="s">
        <v>37</v>
      </c>
      <c r="C7" s="19" t="s">
        <v>38</v>
      </c>
      <c r="D7" s="19" t="s">
        <v>38</v>
      </c>
      <c r="E7" s="20" t="s">
        <v>38</v>
      </c>
      <c r="F7" s="0"/>
      <c r="G7" s="0"/>
      <c r="H7" s="0"/>
      <c r="I7" s="0"/>
      <c r="J7" s="10" t="s">
        <v>14</v>
      </c>
      <c r="K7" s="10" t="s">
        <v>30</v>
      </c>
      <c r="L7" s="10" t="s">
        <v>31</v>
      </c>
      <c r="M7" s="10" t="s">
        <v>32</v>
      </c>
      <c r="N7" s="10" t="s">
        <v>33</v>
      </c>
    </row>
    <row r="8" customFormat="false" ht="15" hidden="false" customHeight="false" outlineLevel="0" collapsed="false">
      <c r="A8" s="21" t="s">
        <v>20</v>
      </c>
      <c r="B8" s="22"/>
      <c r="C8" s="22"/>
      <c r="D8" s="22"/>
      <c r="E8" s="23"/>
      <c r="F8" s="0"/>
      <c r="G8" s="0"/>
      <c r="H8" s="0"/>
      <c r="I8" s="0"/>
    </row>
    <row r="9" customFormat="false" ht="15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1" t="n">
        <v>2</v>
      </c>
      <c r="K9" s="10" t="n">
        <f aca="false">(GETPIVOTDATA("Fi%",$A$6,"Age ","[30;32[","Sexe_Libelle","Femme")/2)*100</f>
        <v>4.69387755102041</v>
      </c>
      <c r="L9" s="10" t="n">
        <f aca="false">(30+32)/2</f>
        <v>31</v>
      </c>
      <c r="M9" s="10" t="n">
        <f aca="false">GETPIVOTDATA("NI",$A$6,"Age ","[30;32[","Sexe_Libelle","Femme")*L9</f>
        <v>713</v>
      </c>
      <c r="N9" s="10" t="n">
        <f aca="false">GETPIVOTDATA("NI",$A$6,"Age ","[30;32[","Sexe_Libelle","Femme")*L9^2</f>
        <v>22103</v>
      </c>
    </row>
    <row r="10" customFormat="false" ht="1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1" t="n">
        <v>2</v>
      </c>
      <c r="K10" s="10" t="n">
        <f aca="false">(GETPIVOTDATA("Fi%",$A$6,"Age ","[32;34[","Sexe_Libelle","Femme")/2)*100</f>
        <v>4.28571428571429</v>
      </c>
      <c r="L10" s="10" t="n">
        <f aca="false">(32+34)/2</f>
        <v>33</v>
      </c>
      <c r="M10" s="10" t="n">
        <f aca="false">GETPIVOTDATA("NI",$A$6,"Age ","[32;34[","Sexe_Libelle","Femme")*L10</f>
        <v>693</v>
      </c>
      <c r="N10" s="10" t="n">
        <f aca="false">GETPIVOTDATA("NI",$A$6,"Age ","[32;34[","Sexe_Libelle","Femme")*L10^2</f>
        <v>22869</v>
      </c>
    </row>
    <row r="11" customFormat="false" ht="15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1" t="n">
        <v>2</v>
      </c>
      <c r="K11" s="10" t="n">
        <f aca="false">(GETPIVOTDATA("Fi%",$A$6,"Age ","[34;36[","Sexe_Libelle","Femme")/2)*100</f>
        <v>6.73469387755102</v>
      </c>
      <c r="L11" s="10" t="n">
        <f aca="false">(34+36)/2</f>
        <v>35</v>
      </c>
      <c r="M11" s="10" t="n">
        <f aca="false">GETPIVOTDATA("NI",$A$6,"Age ","[34;36[","Sexe_Libelle","Femme")*L11</f>
        <v>1155</v>
      </c>
      <c r="N11" s="10" t="n">
        <f aca="false">GETPIVOTDATA("NI",$A$6,"Age ","[34;36[","Sexe_Libelle","Femme")*L11^2</f>
        <v>40425</v>
      </c>
    </row>
    <row r="12" customFormat="false" ht="15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1" t="n">
        <v>2</v>
      </c>
      <c r="K12" s="10" t="n">
        <f aca="false">(GETPIVOTDATA("Fi%",$A$6,"Age ","[36;38[","Sexe_Libelle","Femme")/2)*100</f>
        <v>3.87755102040816</v>
      </c>
      <c r="L12" s="10" t="n">
        <f aca="false">(36+38)/2</f>
        <v>37</v>
      </c>
      <c r="M12" s="10" t="n">
        <f aca="false">GETPIVOTDATA("NI",$A$6,"Age ","[36;38[","Sexe_Libelle","Femme")*L12</f>
        <v>703</v>
      </c>
      <c r="N12" s="10" t="n">
        <f aca="false">GETPIVOTDATA("NI",$A$6,"Age ","[36;38[","Sexe_Libelle","Femme")*L12^2</f>
        <v>26011</v>
      </c>
    </row>
    <row r="13" customFormat="false" ht="15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1" t="n">
        <v>2</v>
      </c>
      <c r="K13" s="10" t="n">
        <f aca="false">(GETPIVOTDATA("Fi%",$A$6,"Age ","[38;40[","Sexe_Libelle","Femme")/2)*100</f>
        <v>5.71428571428571</v>
      </c>
      <c r="L13" s="10" t="n">
        <f aca="false">(38+40)/2</f>
        <v>39</v>
      </c>
      <c r="M13" s="10" t="n">
        <f aca="false">GETPIVOTDATA("NI",$A$6,"Age ","[38;40[","Sexe_Libelle","Femme")*L13</f>
        <v>1092</v>
      </c>
      <c r="N13" s="10" t="n">
        <f aca="false">GETPIVOTDATA("NI",$A$6,"Age ","[38;40[","Sexe_Libelle","Femme")*L13^2</f>
        <v>42588</v>
      </c>
    </row>
    <row r="14" customFormat="false" ht="15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1" t="n">
        <v>2</v>
      </c>
      <c r="K14" s="10" t="n">
        <f aca="false">(GETPIVOTDATA("Fi%",$A$6,"Age ","[40;42[","Sexe_Libelle","Femme")/2)*100</f>
        <v>4.48979591836735</v>
      </c>
      <c r="L14" s="10" t="n">
        <f aca="false">(40+42)/2</f>
        <v>41</v>
      </c>
      <c r="M14" s="10" t="n">
        <f aca="false">GETPIVOTDATA("NI",$A$6,"Age ","[40;42[","Sexe_Libelle","Femme")*L14</f>
        <v>902</v>
      </c>
      <c r="N14" s="10" t="n">
        <f aca="false">GETPIVOTDATA("NI",$A$6,"Age ","[40;42[","Sexe_Libelle","Femme")*L14^2</f>
        <v>36982</v>
      </c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1" t="n">
        <v>2</v>
      </c>
      <c r="K15" s="10" t="n">
        <f aca="false">(GETPIVOTDATA("Fi%",$A$6,"Age ","[42;44[","Sexe_Libelle","Femme")/2)*100</f>
        <v>6.53061224489796</v>
      </c>
      <c r="L15" s="10" t="n">
        <f aca="false">(42+44)/2</f>
        <v>43</v>
      </c>
      <c r="M15" s="10" t="n">
        <f aca="false">GETPIVOTDATA("NI",$A$6,"Age ","[42;44[","Sexe_Libelle","Femme")*L15</f>
        <v>1376</v>
      </c>
      <c r="N15" s="10" t="n">
        <f aca="false">GETPIVOTDATA("NI",$A$6,"Age ","[42;44[","Sexe_Libelle","Femme")*L15^2</f>
        <v>59168</v>
      </c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1" t="n">
        <v>2</v>
      </c>
      <c r="K16" s="10" t="n">
        <f aca="false">(GETPIVOTDATA("Fi%",$A$6,"Age ","[44;46[","Sexe_Libelle","Femme")/2)*100</f>
        <v>3.46938775510204</v>
      </c>
      <c r="L16" s="10" t="n">
        <f aca="false">(44+46)/2</f>
        <v>45</v>
      </c>
      <c r="M16" s="10" t="n">
        <f aca="false">GETPIVOTDATA("NI",$A$6,"Age ","[44;46[","Sexe_Libelle","Femme")*L16</f>
        <v>765</v>
      </c>
      <c r="N16" s="10" t="n">
        <f aca="false">GETPIVOTDATA("NI",$A$6,"Age ","[44;46[","Sexe_Libelle","Femme")*L16^2</f>
        <v>34425</v>
      </c>
    </row>
    <row r="17" customFormat="false" ht="15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1" t="n">
        <v>2</v>
      </c>
      <c r="K17" s="10" t="n">
        <f aca="false">(GETPIVOTDATA("Fi%",$A$6,"Age ","[46;48[","Sexe_Libelle","Femme")/2)*100</f>
        <v>3.87755102040816</v>
      </c>
      <c r="L17" s="10" t="n">
        <f aca="false">(46+48)/2</f>
        <v>47</v>
      </c>
      <c r="M17" s="10" t="n">
        <f aca="false">GETPIVOTDATA("NI",$A$6,"Age ","[46;48[","Sexe_Libelle","Femme")*L17</f>
        <v>893</v>
      </c>
      <c r="N17" s="10" t="n">
        <f aca="false">GETPIVOTDATA("NI",$A$6,"Age ","[46;48[","Sexe_Libelle","Femme")*L17^2</f>
        <v>41971</v>
      </c>
    </row>
    <row r="18" customFormat="false" ht="15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1" t="n">
        <v>2</v>
      </c>
      <c r="K18" s="10" t="n">
        <f aca="false">(GETPIVOTDATA("Fi%",$A$6,"Age ","[48;51[","Sexe_Libelle","Femme")/2)*100</f>
        <v>6.3265306122449</v>
      </c>
      <c r="L18" s="10" t="n">
        <f aca="false">(48+51)/2</f>
        <v>49.5</v>
      </c>
      <c r="M18" s="10" t="n">
        <f aca="false">GETPIVOTDATA("NI",$A$6,"Age ","[48;51[","Sexe_Libelle","Femme")*L18</f>
        <v>1534.5</v>
      </c>
      <c r="N18" s="10" t="n">
        <f aca="false">GETPIVOTDATA("NI",$A$6,"Age ","[48;51[","Sexe_Libelle","Femme")*L18^2</f>
        <v>75957.75</v>
      </c>
    </row>
    <row r="19" customFormat="false" ht="15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</row>
    <row r="23" customFormat="false" ht="15" hidden="false" customHeight="false" outlineLevel="0" collapsed="false">
      <c r="A23" s="58" t="s">
        <v>39</v>
      </c>
      <c r="B23" s="62" t="s">
        <v>64</v>
      </c>
      <c r="D23" s="11" t="s">
        <v>9</v>
      </c>
    </row>
    <row r="24" customFormat="false" ht="15" hidden="false" customHeight="false" outlineLevel="0" collapsed="false">
      <c r="A24" s="56" t="s">
        <v>41</v>
      </c>
      <c r="B24" s="57" t="n">
        <f aca="false">GETPIVOTDATA("NI",$A$6,"Sexe_Libelle","Femme")</f>
        <v>245</v>
      </c>
    </row>
    <row r="25" customFormat="false" ht="15" hidden="false" customHeight="false" outlineLevel="0" collapsed="false">
      <c r="A25" s="58" t="s">
        <v>42</v>
      </c>
      <c r="B25" s="59" t="n">
        <v>39</v>
      </c>
      <c r="D25" s="10" t="s">
        <v>12</v>
      </c>
      <c r="E25" s="10" t="s">
        <v>13</v>
      </c>
      <c r="F25" s="10" t="s">
        <v>14</v>
      </c>
    </row>
    <row r="26" customFormat="false" ht="15" hidden="false" customHeight="false" outlineLevel="0" collapsed="false">
      <c r="A26" s="56" t="s">
        <v>43</v>
      </c>
      <c r="B26" s="57" t="n">
        <v>34</v>
      </c>
      <c r="D26" s="10" t="n">
        <f aca="false">1+3.33*LOG(500)</f>
        <v>9.98757011443894</v>
      </c>
      <c r="E26" s="10" t="n">
        <f aca="false">MAX(Tableau1[[Age ]])-MIN(Tableau1[[Age ]])</f>
        <v>20</v>
      </c>
      <c r="F26" s="10" t="n">
        <f aca="false">E26/D26</f>
        <v>2.00248907099898</v>
      </c>
    </row>
    <row r="27" customFormat="false" ht="15" hidden="false" customHeight="false" outlineLevel="0" collapsed="false">
      <c r="A27" s="58" t="s">
        <v>44</v>
      </c>
      <c r="B27" s="59" t="n">
        <v>44</v>
      </c>
    </row>
    <row r="28" customFormat="false" ht="15" hidden="false" customHeight="false" outlineLevel="0" collapsed="false">
      <c r="A28" s="56" t="s">
        <v>45</v>
      </c>
      <c r="B28" s="63" t="n">
        <f aca="false">(B32/B31)</f>
        <v>0.14578922456211</v>
      </c>
    </row>
    <row r="29" customFormat="false" ht="15" hidden="false" customHeight="false" outlineLevel="0" collapsed="false">
      <c r="A29" s="58" t="s">
        <v>46</v>
      </c>
      <c r="B29" s="62" t="s">
        <v>65</v>
      </c>
    </row>
    <row r="30" customFormat="false" ht="15" hidden="false" customHeight="false" outlineLevel="0" collapsed="false">
      <c r="A30" s="56" t="s">
        <v>47</v>
      </c>
      <c r="B30" s="64" t="n">
        <v>0.5848</v>
      </c>
    </row>
    <row r="31" customFormat="false" ht="15" hidden="false" customHeight="false" outlineLevel="0" collapsed="false">
      <c r="A31" s="58" t="s">
        <v>48</v>
      </c>
      <c r="B31" s="59" t="n">
        <f aca="false">SUM(M9:M18)*(1/B24)</f>
        <v>40.1081632653061</v>
      </c>
    </row>
    <row r="32" customFormat="false" ht="15" hidden="false" customHeight="false" outlineLevel="0" collapsed="false">
      <c r="A32" s="56" t="s">
        <v>34</v>
      </c>
      <c r="B32" s="57" t="n">
        <f aca="false">SQRT(B33)</f>
        <v>5.8473380210595</v>
      </c>
    </row>
    <row r="33" customFormat="false" ht="15" hidden="false" customHeight="false" outlineLevel="0" collapsed="false">
      <c r="A33" s="58" t="s">
        <v>35</v>
      </c>
      <c r="B33" s="59" t="n">
        <f aca="false">((SUM(N9:N18))/B24)-(B31)^2</f>
        <v>34.191361932528</v>
      </c>
    </row>
    <row r="36" customFormat="false" ht="15" hidden="false" customHeight="false" outlineLevel="0" collapsed="false">
      <c r="A36" s="11" t="s">
        <v>66</v>
      </c>
    </row>
    <row r="38" customFormat="false" ht="15" hidden="false" customHeight="false" outlineLevel="0" collapsed="false">
      <c r="A38" s="15"/>
      <c r="B38" s="16" t="s">
        <v>17</v>
      </c>
      <c r="C38" s="17"/>
      <c r="D38" s="0"/>
      <c r="E38" s="0"/>
      <c r="F38" s="0"/>
      <c r="G38" s="0"/>
      <c r="H38" s="0"/>
      <c r="I38" s="0"/>
      <c r="J38" s="0"/>
      <c r="K38" s="0"/>
    </row>
    <row r="39" customFormat="false" ht="15" hidden="false" customHeight="false" outlineLevel="0" collapsed="false">
      <c r="A39" s="18" t="s">
        <v>1</v>
      </c>
      <c r="B39" s="19" t="s">
        <v>18</v>
      </c>
      <c r="C39" s="20" t="s">
        <v>19</v>
      </c>
      <c r="D39" s="0"/>
      <c r="E39" s="0"/>
      <c r="F39" s="0"/>
      <c r="G39" s="0"/>
      <c r="H39" s="0"/>
      <c r="I39" s="0"/>
      <c r="J39" s="0"/>
      <c r="K39" s="0"/>
    </row>
    <row r="40" customFormat="false" ht="15" hidden="false" customHeight="false" outlineLevel="0" collapsed="false">
      <c r="A40" s="21" t="s">
        <v>20</v>
      </c>
      <c r="B40" s="22"/>
      <c r="C40" s="23"/>
      <c r="D40" s="0"/>
      <c r="E40" s="0"/>
      <c r="F40" s="0"/>
      <c r="G40" s="0"/>
      <c r="H40" s="0"/>
      <c r="I40" s="0"/>
      <c r="J40" s="0"/>
      <c r="K40" s="0"/>
    </row>
    <row r="41" customFormat="false" ht="15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 customFormat="false" ht="15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</row>
    <row r="43" customFormat="false" ht="15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</row>
    <row r="44" customFormat="false" ht="15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</row>
    <row r="45" customFormat="false" ht="15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</row>
    <row r="46" customFormat="false" ht="15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</row>
    <row r="47" customFormat="false" ht="15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</row>
    <row r="48" customFormat="false" ht="15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</row>
    <row r="49" customFormat="false" ht="15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</row>
    <row r="50" customFormat="false" ht="15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</row>
    <row r="51" customFormat="false" ht="15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customFormat="false" ht="15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  <row r="54" customFormat="false" ht="15" hidden="false" customHeight="false" outlineLevel="0" collapsed="false">
      <c r="H54" s="73"/>
    </row>
    <row r="58" customFormat="false" ht="15" hidden="false" customHeight="false" outlineLevel="0" collapsed="false">
      <c r="A58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23.86"/>
    <col collapsed="false" customWidth="true" hidden="false" outlineLevel="0" max="3" min="3" style="1" width="9.71"/>
    <col collapsed="false" customWidth="true" hidden="false" outlineLevel="0" max="4" min="4" style="1" width="18.42"/>
    <col collapsed="false" customWidth="true" hidden="false" outlineLevel="0" max="5" min="5" style="1" width="12.57"/>
    <col collapsed="false" customWidth="true" hidden="false" outlineLevel="0" max="6" min="6" style="1" width="11.85"/>
    <col collapsed="false" customWidth="true" hidden="false" outlineLevel="0" max="7" min="7" style="1" width="9.71"/>
    <col collapsed="false" customWidth="true" hidden="false" outlineLevel="0" max="8" min="8" style="1" width="18.42"/>
    <col collapsed="false" customWidth="true" hidden="false" outlineLevel="0" max="9" min="9" style="1" width="12.86"/>
    <col collapsed="false" customWidth="true" hidden="false" outlineLevel="0" max="10" min="10" style="1" width="11.85"/>
    <col collapsed="false" customWidth="true" hidden="false" outlineLevel="0" max="11" min="11" style="1" width="9.71"/>
    <col collapsed="false" customWidth="true" hidden="false" outlineLevel="0" max="12" min="12" style="1" width="18.42"/>
    <col collapsed="false" customWidth="true" hidden="false" outlineLevel="0" max="13" min="13" style="1" width="12.57"/>
    <col collapsed="false" customWidth="true" hidden="false" outlineLevel="0" max="14" min="14" style="1" width="11.85"/>
    <col collapsed="false" customWidth="true" hidden="false" outlineLevel="0" max="15" min="15" style="1" width="9.71"/>
    <col collapsed="false" customWidth="true" hidden="false" outlineLevel="0" max="16" min="16" style="1" width="18.42"/>
    <col collapsed="false" customWidth="true" hidden="false" outlineLevel="0" max="17" min="17" style="1" width="12.86"/>
    <col collapsed="false" customWidth="true" hidden="false" outlineLevel="0" max="18" min="18" style="1" width="7.42"/>
    <col collapsed="false" customWidth="true" hidden="false" outlineLevel="0" max="19" min="19" style="1" width="9"/>
  </cols>
  <sheetData>
    <row r="2" customFormat="false" ht="15" hidden="false" customHeight="false" outlineLevel="0" collapsed="false">
      <c r="A2" s="15"/>
      <c r="B2" s="16" t="s">
        <v>17</v>
      </c>
      <c r="C2" s="17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</row>
    <row r="3" customFormat="false" ht="15" hidden="false" customHeight="false" outlineLevel="0" collapsed="false">
      <c r="A3" s="18" t="s">
        <v>1</v>
      </c>
      <c r="B3" s="19" t="s">
        <v>18</v>
      </c>
      <c r="C3" s="20" t="s">
        <v>19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</row>
    <row r="4" customFormat="false" ht="15" hidden="false" customHeight="false" outlineLevel="0" collapsed="false">
      <c r="A4" s="21" t="s">
        <v>20</v>
      </c>
      <c r="B4" s="22"/>
      <c r="C4" s="23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</row>
    <row r="5" customFormat="false" ht="15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</row>
    <row r="6" customFormat="false" ht="15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</row>
    <row r="7" customFormat="false" ht="15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</row>
    <row r="8" customFormat="false" ht="15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</row>
    <row r="9" customFormat="false" ht="15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</row>
    <row r="10" customFormat="false" ht="15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</row>
    <row r="11" customFormat="false" ht="15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</row>
    <row r="12" customFormat="false" ht="15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</row>
    <row r="13" customFormat="false" ht="15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</row>
    <row r="14" customFormat="false" ht="15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</row>
    <row r="15" customFormat="false" ht="15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</row>
    <row r="16" customFormat="false" ht="15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32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3.86"/>
    <col collapsed="false" customWidth="true" hidden="false" outlineLevel="0" max="3" min="3" style="1" width="8"/>
    <col collapsed="false" customWidth="true" hidden="false" outlineLevel="0" max="4" min="4" style="1" width="12.57"/>
    <col collapsed="false" customWidth="true" hidden="false" outlineLevel="0" max="22" min="5" style="1" width="3"/>
    <col collapsed="false" customWidth="true" hidden="false" outlineLevel="0" max="23" min="23" style="1" width="11.85"/>
    <col collapsed="false" customWidth="true" hidden="false" outlineLevel="0" max="43" min="24" style="1" width="9.71"/>
    <col collapsed="false" customWidth="true" hidden="false" outlineLevel="0" max="44" min="44" style="1" width="12.29"/>
    <col collapsed="false" customWidth="true" hidden="false" outlineLevel="0" max="45" min="45" style="1" width="11.85"/>
  </cols>
  <sheetData>
    <row r="3" customFormat="false" ht="15" hidden="false" customHeight="false" outlineLevel="0" collapsed="false">
      <c r="A3" s="15" t="s">
        <v>67</v>
      </c>
      <c r="B3" s="65" t="s">
        <v>3</v>
      </c>
      <c r="C3" s="0"/>
      <c r="D3" s="0"/>
    </row>
    <row r="4" customFormat="false" ht="15" hidden="false" customHeight="false" outlineLevel="0" collapsed="false">
      <c r="A4" s="18" t="s">
        <v>1</v>
      </c>
      <c r="B4" s="20" t="s">
        <v>20</v>
      </c>
      <c r="C4" s="0"/>
      <c r="D4" s="0"/>
    </row>
    <row r="5" customFormat="false" ht="15" hidden="false" customHeight="false" outlineLevel="0" collapsed="false">
      <c r="A5" s="21" t="s">
        <v>20</v>
      </c>
      <c r="B5" s="23"/>
      <c r="C5" s="0"/>
      <c r="D5" s="0"/>
    </row>
    <row r="6" customFormat="false" ht="15" hidden="false" customHeight="false" outlineLevel="0" collapsed="false">
      <c r="A6" s="0"/>
      <c r="B6" s="0"/>
      <c r="C6" s="0"/>
      <c r="D6" s="0"/>
    </row>
    <row r="7" customFormat="false" ht="15" hidden="false" customHeight="false" outlineLevel="0" collapsed="false">
      <c r="A7" s="0"/>
      <c r="B7" s="0"/>
      <c r="C7" s="0"/>
      <c r="D7" s="0"/>
    </row>
    <row r="8" customFormat="false" ht="15" hidden="false" customHeight="false" outlineLevel="0" collapsed="false">
      <c r="A8" s="0"/>
      <c r="B8" s="0"/>
      <c r="C8" s="0"/>
      <c r="D8" s="0"/>
    </row>
    <row r="9" customFormat="false" ht="15" hidden="false" customHeight="false" outlineLevel="0" collapsed="false">
      <c r="A9" s="0"/>
      <c r="B9" s="0"/>
      <c r="C9" s="0"/>
      <c r="D9" s="0"/>
    </row>
    <row r="10" customFormat="false" ht="15" hidden="false" customHeight="false" outlineLevel="0" collapsed="false">
      <c r="A10" s="0"/>
      <c r="B10" s="0"/>
      <c r="C10" s="0"/>
      <c r="D10" s="0"/>
    </row>
    <row r="11" customFormat="false" ht="15" hidden="false" customHeight="false" outlineLevel="0" collapsed="false">
      <c r="A11" s="0"/>
      <c r="B11" s="0"/>
      <c r="C11" s="0"/>
      <c r="D11" s="0"/>
    </row>
    <row r="12" customFormat="false" ht="15" hidden="false" customHeight="false" outlineLevel="0" collapsed="false">
      <c r="A12" s="0"/>
      <c r="B12" s="0"/>
      <c r="C12" s="0"/>
      <c r="D12" s="0"/>
    </row>
    <row r="13" customFormat="false" ht="15" hidden="false" customHeight="false" outlineLevel="0" collapsed="false">
      <c r="A13" s="0"/>
      <c r="B13" s="0"/>
      <c r="C13" s="0"/>
      <c r="D13" s="0"/>
    </row>
    <row r="14" customFormat="false" ht="15" hidden="false" customHeight="false" outlineLevel="0" collapsed="false">
      <c r="A14" s="0"/>
      <c r="B14" s="0"/>
      <c r="C14" s="0"/>
      <c r="D14" s="0"/>
    </row>
    <row r="15" customFormat="false" ht="15" hidden="false" customHeight="false" outlineLevel="0" collapsed="false">
      <c r="A15" s="0"/>
      <c r="B15" s="0"/>
      <c r="C15" s="0"/>
      <c r="D15" s="0"/>
    </row>
    <row r="18" customFormat="false" ht="15" hidden="false" customHeight="false" outlineLevel="0" collapsed="false">
      <c r="D18" s="1" t="s">
        <v>8</v>
      </c>
    </row>
    <row r="21" customFormat="false" ht="15" hidden="false" customHeight="false" outlineLevel="0" collapsed="false">
      <c r="A21" s="10" t="s">
        <v>68</v>
      </c>
      <c r="B21" s="10" t="s">
        <v>69</v>
      </c>
    </row>
    <row r="22" customFormat="false" ht="15" hidden="false" customHeight="false" outlineLevel="0" collapsed="false">
      <c r="A22" s="1" t="s">
        <v>48</v>
      </c>
      <c r="B22" s="74" t="n">
        <f aca="false">AVERAGE(B5:C14)</f>
        <v>25</v>
      </c>
    </row>
    <row r="23" customFormat="false" ht="15" hidden="false" customHeight="false" outlineLevel="0" collapsed="false">
      <c r="A23" s="1" t="s">
        <v>34</v>
      </c>
      <c r="B23" s="1" t="n">
        <f aca="false">SQRT(B24)</f>
        <v>2.41818146498899</v>
      </c>
    </row>
    <row r="24" customFormat="false" ht="15" hidden="false" customHeight="false" outlineLevel="0" collapsed="false">
      <c r="A24" s="1" t="s">
        <v>35</v>
      </c>
      <c r="B24" s="1" t="n">
        <f aca="false">STDEV(B4:B13)</f>
        <v>5.84760159761628</v>
      </c>
    </row>
    <row r="25" customFormat="false" ht="15" hidden="false" customHeight="false" outlineLevel="0" collapsed="false">
      <c r="A25" s="1" t="s">
        <v>39</v>
      </c>
    </row>
    <row r="26" customFormat="false" ht="15" hidden="false" customHeight="false" outlineLevel="0" collapsed="false">
      <c r="A26" s="1" t="s">
        <v>41</v>
      </c>
      <c r="B26" s="1" t="n">
        <f aca="false">SUM(B4:B13)</f>
        <v>214</v>
      </c>
    </row>
    <row r="27" customFormat="false" ht="15" hidden="false" customHeight="false" outlineLevel="0" collapsed="false">
      <c r="A27" s="1" t="s">
        <v>42</v>
      </c>
      <c r="B27" s="1" t="n">
        <f aca="false">MEDIAN(B4:B13)</f>
        <v>22</v>
      </c>
    </row>
    <row r="28" customFormat="false" ht="15" hidden="false" customHeight="false" outlineLevel="0" collapsed="false">
      <c r="A28" s="1" t="s">
        <v>70</v>
      </c>
    </row>
    <row r="29" customFormat="false" ht="15" hidden="false" customHeight="false" outlineLevel="0" collapsed="false">
      <c r="A29" s="1" t="s">
        <v>71</v>
      </c>
    </row>
    <row r="30" customFormat="false" ht="15" hidden="false" customHeight="false" outlineLevel="0" collapsed="false">
      <c r="A30" s="1" t="s">
        <v>45</v>
      </c>
    </row>
    <row r="31" customFormat="false" ht="15" hidden="false" customHeight="false" outlineLevel="0" collapsed="false">
      <c r="A31" s="1" t="s">
        <v>46</v>
      </c>
    </row>
    <row r="32" customFormat="false" ht="15" hidden="false" customHeight="false" outlineLevel="0" collapsed="false">
      <c r="A32" s="1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6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3"/>
  </cols>
  <sheetData>
    <row r="3" customFormat="false" ht="15" hidden="false" customHeight="false" outlineLevel="0" collapsed="false">
      <c r="A3" s="24" t="s">
        <v>3</v>
      </c>
      <c r="B3" s="75" t="s">
        <v>67</v>
      </c>
    </row>
    <row r="4" customFormat="false" ht="15" hidden="false" customHeight="false" outlineLevel="0" collapsed="false">
      <c r="A4" s="29" t="s">
        <v>6</v>
      </c>
      <c r="B4" s="76" t="n">
        <v>245</v>
      </c>
    </row>
    <row r="5" customFormat="false" ht="15" hidden="false" customHeight="false" outlineLevel="0" collapsed="false">
      <c r="A5" s="35" t="s">
        <v>15</v>
      </c>
      <c r="B5" s="77" t="n">
        <v>255</v>
      </c>
    </row>
    <row r="6" customFormat="false" ht="15" hidden="false" customHeight="false" outlineLevel="0" collapsed="false">
      <c r="A6" s="21" t="s">
        <v>20</v>
      </c>
      <c r="B6" s="23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23.86"/>
    <col collapsed="false" customWidth="true" hidden="false" outlineLevel="0" max="3" min="3" style="1" width="9.71"/>
    <col collapsed="false" customWidth="true" hidden="false" outlineLevel="0" max="4" min="4" style="1" width="18.42"/>
    <col collapsed="false" customWidth="true" hidden="false" outlineLevel="0" max="5" min="5" style="1" width="12.57"/>
  </cols>
  <sheetData>
    <row r="3" customFormat="false" ht="15" hidden="false" customHeight="false" outlineLevel="0" collapsed="false">
      <c r="A3" s="15" t="s">
        <v>50</v>
      </c>
      <c r="B3" s="16" t="s">
        <v>5</v>
      </c>
      <c r="C3" s="61"/>
      <c r="D3" s="61"/>
      <c r="E3" s="17"/>
    </row>
    <row r="4" customFormat="false" ht="15" hidden="false" customHeight="false" outlineLevel="0" collapsed="false">
      <c r="A4" s="18" t="s">
        <v>3</v>
      </c>
      <c r="B4" s="78" t="s">
        <v>7</v>
      </c>
      <c r="C4" s="79" t="s">
        <v>11</v>
      </c>
      <c r="D4" s="79" t="s">
        <v>10</v>
      </c>
      <c r="E4" s="20" t="s">
        <v>20</v>
      </c>
    </row>
    <row r="5" customFormat="false" ht="15" hidden="false" customHeight="false" outlineLevel="0" collapsed="false">
      <c r="A5" s="29" t="s">
        <v>6</v>
      </c>
      <c r="B5" s="30" t="n">
        <v>89</v>
      </c>
      <c r="C5" s="80" t="n">
        <v>84</v>
      </c>
      <c r="D5" s="81" t="n">
        <v>72</v>
      </c>
      <c r="E5" s="82" t="n">
        <v>245</v>
      </c>
    </row>
    <row r="6" customFormat="false" ht="15" hidden="false" customHeight="false" outlineLevel="0" collapsed="false">
      <c r="A6" s="35" t="s">
        <v>15</v>
      </c>
      <c r="B6" s="36" t="n">
        <v>78</v>
      </c>
      <c r="C6" s="83" t="n">
        <v>86</v>
      </c>
      <c r="D6" s="84" t="n">
        <v>91</v>
      </c>
      <c r="E6" s="85" t="n">
        <v>255</v>
      </c>
    </row>
    <row r="7" customFormat="false" ht="15" hidden="false" customHeight="false" outlineLevel="0" collapsed="false">
      <c r="A7" s="21" t="s">
        <v>20</v>
      </c>
      <c r="B7" s="41" t="n">
        <v>167</v>
      </c>
      <c r="C7" s="86" t="n">
        <v>170</v>
      </c>
      <c r="D7" s="87" t="n">
        <v>163</v>
      </c>
      <c r="E7" s="23" t="n">
        <v>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4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3.86"/>
    <col collapsed="false" customWidth="true" hidden="false" outlineLevel="0" max="3" min="3" style="1" width="9.71"/>
    <col collapsed="false" customWidth="true" hidden="false" outlineLevel="0" max="4" min="4" style="1" width="18.42"/>
    <col collapsed="false" customWidth="true" hidden="false" outlineLevel="0" max="5" min="5" style="1" width="12.57"/>
  </cols>
  <sheetData>
    <row r="3" customFormat="false" ht="15" hidden="false" customHeight="false" outlineLevel="0" collapsed="false">
      <c r="A3" s="15" t="s">
        <v>67</v>
      </c>
      <c r="B3" s="16" t="s">
        <v>5</v>
      </c>
      <c r="C3" s="61"/>
      <c r="D3" s="61"/>
      <c r="E3" s="17"/>
    </row>
    <row r="4" customFormat="false" ht="15" hidden="false" customHeight="false" outlineLevel="0" collapsed="false">
      <c r="A4" s="18" t="s">
        <v>3</v>
      </c>
      <c r="B4" s="78" t="s">
        <v>7</v>
      </c>
      <c r="C4" s="79" t="s">
        <v>11</v>
      </c>
      <c r="D4" s="79" t="s">
        <v>10</v>
      </c>
      <c r="E4" s="20" t="s">
        <v>20</v>
      </c>
    </row>
    <row r="5" customFormat="false" ht="15" hidden="false" customHeight="false" outlineLevel="0" collapsed="false">
      <c r="A5" s="29" t="s">
        <v>15</v>
      </c>
      <c r="B5" s="88" t="n">
        <v>78</v>
      </c>
      <c r="C5" s="89" t="n">
        <v>86</v>
      </c>
      <c r="D5" s="90" t="n">
        <v>91</v>
      </c>
      <c r="E5" s="91" t="n">
        <v>255</v>
      </c>
    </row>
    <row r="6" customFormat="false" ht="15" hidden="false" customHeight="false" outlineLevel="0" collapsed="false">
      <c r="A6" s="21" t="s">
        <v>20</v>
      </c>
      <c r="B6" s="41" t="n">
        <v>78</v>
      </c>
      <c r="C6" s="86" t="n">
        <v>86</v>
      </c>
      <c r="D6" s="87" t="n">
        <v>91</v>
      </c>
      <c r="E6" s="23" t="n">
        <v>255</v>
      </c>
    </row>
    <row r="11" customFormat="false" ht="15" hidden="false" customHeight="false" outlineLevel="0" collapsed="false">
      <c r="A11" s="24" t="s">
        <v>3</v>
      </c>
      <c r="B11" s="75" t="s">
        <v>67</v>
      </c>
    </row>
    <row r="12" customFormat="false" ht="15" hidden="false" customHeight="false" outlineLevel="0" collapsed="false">
      <c r="A12" s="29" t="s">
        <v>15</v>
      </c>
      <c r="B12" s="92" t="n">
        <v>255</v>
      </c>
    </row>
    <row r="13" customFormat="false" ht="15" hidden="false" customHeight="false" outlineLevel="0" collapsed="false">
      <c r="A13" s="21" t="s">
        <v>20</v>
      </c>
      <c r="B13" s="23" t="n">
        <v>255</v>
      </c>
    </row>
    <row r="20" customFormat="false" ht="15" hidden="false" customHeight="false" outlineLevel="0" collapsed="false">
      <c r="A20" s="15" t="s">
        <v>67</v>
      </c>
      <c r="B20" s="65" t="s">
        <v>3</v>
      </c>
      <c r="C20" s="0"/>
    </row>
    <row r="21" customFormat="false" ht="15" hidden="false" customHeight="false" outlineLevel="0" collapsed="false">
      <c r="A21" s="18" t="s">
        <v>1</v>
      </c>
      <c r="B21" s="20" t="s">
        <v>20</v>
      </c>
      <c r="C21" s="0"/>
    </row>
    <row r="22" customFormat="false" ht="15" hidden="false" customHeight="false" outlineLevel="0" collapsed="false">
      <c r="A22" s="21" t="s">
        <v>20</v>
      </c>
      <c r="B22" s="23"/>
      <c r="C22" s="0"/>
    </row>
    <row r="23" customFormat="false" ht="15" hidden="false" customHeight="false" outlineLevel="0" collapsed="false">
      <c r="A23" s="0"/>
      <c r="B23" s="0"/>
      <c r="C23" s="0"/>
    </row>
    <row r="24" customFormat="false" ht="15" hidden="false" customHeight="false" outlineLevel="0" collapsed="false">
      <c r="A24" s="0"/>
      <c r="B24" s="0"/>
      <c r="C24" s="0"/>
    </row>
    <row r="25" customFormat="false" ht="15" hidden="false" customHeight="false" outlineLevel="0" collapsed="false">
      <c r="A25" s="0"/>
      <c r="B25" s="0"/>
      <c r="C25" s="0"/>
    </row>
    <row r="26" customFormat="false" ht="15" hidden="false" customHeight="false" outlineLevel="0" collapsed="false">
      <c r="A26" s="0"/>
      <c r="B26" s="0"/>
      <c r="C26" s="0"/>
    </row>
    <row r="27" customFormat="false" ht="15" hidden="false" customHeight="false" outlineLevel="0" collapsed="false">
      <c r="A27" s="0"/>
      <c r="B27" s="0"/>
      <c r="C27" s="0"/>
    </row>
    <row r="28" customFormat="false" ht="15" hidden="false" customHeight="false" outlineLevel="0" collapsed="false">
      <c r="A28" s="0"/>
      <c r="B28" s="0"/>
      <c r="C28" s="0"/>
    </row>
    <row r="29" customFormat="false" ht="15" hidden="false" customHeight="false" outlineLevel="0" collapsed="false">
      <c r="A29" s="0"/>
      <c r="B29" s="0"/>
      <c r="C29" s="0"/>
    </row>
    <row r="30" customFormat="false" ht="15" hidden="false" customHeight="false" outlineLevel="0" collapsed="false">
      <c r="A30" s="0"/>
      <c r="B30" s="0"/>
      <c r="C30" s="0"/>
    </row>
    <row r="31" customFormat="false" ht="15" hidden="false" customHeight="false" outlineLevel="0" collapsed="false">
      <c r="A31" s="0"/>
      <c r="B31" s="0"/>
      <c r="C31" s="0"/>
    </row>
    <row r="32" customFormat="false" ht="15" hidden="false" customHeight="false" outlineLevel="0" collapsed="false">
      <c r="A32" s="0"/>
      <c r="B32" s="0"/>
      <c r="C32" s="0"/>
    </row>
    <row r="37" customFormat="false" ht="15" hidden="false" customHeight="false" outlineLevel="0" collapsed="false">
      <c r="A37" s="15" t="s">
        <v>72</v>
      </c>
      <c r="B37" s="65" t="s">
        <v>3</v>
      </c>
      <c r="C37" s="0"/>
    </row>
    <row r="38" customFormat="false" ht="15" hidden="false" customHeight="false" outlineLevel="0" collapsed="false">
      <c r="A38" s="18" t="s">
        <v>1</v>
      </c>
      <c r="B38" s="20" t="s">
        <v>20</v>
      </c>
      <c r="C38" s="0"/>
    </row>
    <row r="39" customFormat="false" ht="15" hidden="false" customHeight="false" outlineLevel="0" collapsed="false">
      <c r="A39" s="21" t="s">
        <v>20</v>
      </c>
      <c r="B39" s="23"/>
      <c r="C39" s="0"/>
    </row>
    <row r="40" customFormat="false" ht="15" hidden="false" customHeight="false" outlineLevel="0" collapsed="false">
      <c r="A40" s="0"/>
      <c r="B40" s="0"/>
      <c r="C40" s="0"/>
    </row>
    <row r="41" customFormat="false" ht="15" hidden="false" customHeight="false" outlineLevel="0" collapsed="false">
      <c r="A41" s="0"/>
      <c r="B41" s="0"/>
      <c r="C41" s="0"/>
    </row>
    <row r="42" customFormat="false" ht="15" hidden="false" customHeight="false" outlineLevel="0" collapsed="false">
      <c r="A42" s="0"/>
      <c r="B42" s="0"/>
      <c r="C42" s="0"/>
    </row>
    <row r="43" customFormat="false" ht="15" hidden="false" customHeight="false" outlineLevel="0" collapsed="false">
      <c r="A43" s="0"/>
      <c r="B43" s="0"/>
      <c r="C43" s="0"/>
    </row>
    <row r="44" customFormat="false" ht="15" hidden="false" customHeight="false" outlineLevel="0" collapsed="false">
      <c r="A44" s="0"/>
      <c r="B44" s="0"/>
      <c r="C44" s="0"/>
    </row>
    <row r="45" customFormat="false" ht="15" hidden="false" customHeight="false" outlineLevel="0" collapsed="false">
      <c r="A45" s="0"/>
      <c r="B45" s="0"/>
      <c r="C45" s="0"/>
    </row>
    <row r="46" customFormat="false" ht="15" hidden="false" customHeight="false" outlineLevel="0" collapsed="false">
      <c r="A46" s="0"/>
      <c r="B46" s="0"/>
      <c r="C46" s="0"/>
    </row>
    <row r="47" customFormat="false" ht="15" hidden="false" customHeight="false" outlineLevel="0" collapsed="false">
      <c r="A47" s="0"/>
      <c r="B47" s="0"/>
      <c r="C47" s="0"/>
    </row>
    <row r="48" customFormat="false" ht="15" hidden="false" customHeight="false" outlineLevel="0" collapsed="false">
      <c r="A48" s="0"/>
      <c r="B48" s="0"/>
      <c r="C48" s="0"/>
    </row>
    <row r="49" customFormat="false" ht="15" hidden="false" customHeight="false" outlineLevel="0" collapsed="false">
      <c r="A49" s="0"/>
      <c r="B49" s="0"/>
      <c r="C4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E49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22.42"/>
    <col collapsed="false" customWidth="true" hidden="false" outlineLevel="0" max="2" min="2" style="1" width="23.86"/>
    <col collapsed="false" customWidth="true" hidden="false" outlineLevel="0" max="3" min="3" style="1" width="12.57"/>
    <col collapsed="false" customWidth="true" hidden="false" outlineLevel="0" max="4" min="4" style="1" width="18.42"/>
    <col collapsed="false" customWidth="true" hidden="false" outlineLevel="0" max="5" min="5" style="1" width="12.57"/>
  </cols>
  <sheetData>
    <row r="3" customFormat="false" ht="15" hidden="false" customHeight="false" outlineLevel="0" collapsed="false">
      <c r="A3" s="15" t="s">
        <v>67</v>
      </c>
      <c r="B3" s="16" t="s">
        <v>5</v>
      </c>
      <c r="C3" s="61"/>
      <c r="D3" s="61"/>
      <c r="E3" s="17"/>
    </row>
    <row r="4" customFormat="false" ht="15" hidden="false" customHeight="false" outlineLevel="0" collapsed="false">
      <c r="A4" s="18" t="s">
        <v>3</v>
      </c>
      <c r="B4" s="78" t="s">
        <v>7</v>
      </c>
      <c r="C4" s="79" t="s">
        <v>11</v>
      </c>
      <c r="D4" s="79" t="s">
        <v>10</v>
      </c>
      <c r="E4" s="20" t="s">
        <v>20</v>
      </c>
    </row>
    <row r="5" customFormat="false" ht="15" hidden="false" customHeight="false" outlineLevel="0" collapsed="false">
      <c r="A5" s="29" t="s">
        <v>6</v>
      </c>
      <c r="B5" s="88" t="n">
        <v>89</v>
      </c>
      <c r="C5" s="89" t="n">
        <v>84</v>
      </c>
      <c r="D5" s="90" t="n">
        <v>72</v>
      </c>
      <c r="E5" s="91" t="n">
        <v>245</v>
      </c>
    </row>
    <row r="6" customFormat="false" ht="15" hidden="false" customHeight="false" outlineLevel="0" collapsed="false">
      <c r="A6" s="21" t="s">
        <v>20</v>
      </c>
      <c r="B6" s="41" t="n">
        <v>89</v>
      </c>
      <c r="C6" s="86" t="n">
        <v>84</v>
      </c>
      <c r="D6" s="87" t="n">
        <v>72</v>
      </c>
      <c r="E6" s="23" t="n">
        <v>245</v>
      </c>
    </row>
    <row r="11" customFormat="false" ht="15" hidden="false" customHeight="false" outlineLevel="0" collapsed="false">
      <c r="A11" s="24" t="s">
        <v>3</v>
      </c>
      <c r="B11" s="75" t="s">
        <v>67</v>
      </c>
    </row>
    <row r="12" customFormat="false" ht="15" hidden="false" customHeight="false" outlineLevel="0" collapsed="false">
      <c r="A12" s="29" t="s">
        <v>6</v>
      </c>
      <c r="B12" s="92" t="n">
        <v>245</v>
      </c>
    </row>
    <row r="13" customFormat="false" ht="15" hidden="false" customHeight="false" outlineLevel="0" collapsed="false">
      <c r="A13" s="21" t="s">
        <v>20</v>
      </c>
      <c r="B13" s="23" t="n">
        <v>245</v>
      </c>
    </row>
    <row r="20" customFormat="false" ht="15" hidden="false" customHeight="false" outlineLevel="0" collapsed="false">
      <c r="A20" s="15" t="s">
        <v>67</v>
      </c>
      <c r="B20" s="65" t="s">
        <v>3</v>
      </c>
      <c r="C20" s="0"/>
    </row>
    <row r="21" customFormat="false" ht="15" hidden="false" customHeight="false" outlineLevel="0" collapsed="false">
      <c r="A21" s="18" t="s">
        <v>1</v>
      </c>
      <c r="B21" s="20" t="s">
        <v>20</v>
      </c>
      <c r="C21" s="0"/>
    </row>
    <row r="22" customFormat="false" ht="15" hidden="false" customHeight="false" outlineLevel="0" collapsed="false">
      <c r="A22" s="21" t="s">
        <v>20</v>
      </c>
      <c r="B22" s="23"/>
      <c r="C22" s="0"/>
    </row>
    <row r="23" customFormat="false" ht="15" hidden="false" customHeight="false" outlineLevel="0" collapsed="false">
      <c r="A23" s="0"/>
      <c r="B23" s="0"/>
      <c r="C23" s="0"/>
    </row>
    <row r="24" customFormat="false" ht="15" hidden="false" customHeight="false" outlineLevel="0" collapsed="false">
      <c r="A24" s="0"/>
      <c r="B24" s="0"/>
      <c r="C24" s="0"/>
    </row>
    <row r="25" customFormat="false" ht="15" hidden="false" customHeight="false" outlineLevel="0" collapsed="false">
      <c r="A25" s="0"/>
      <c r="B25" s="0"/>
      <c r="C25" s="0"/>
    </row>
    <row r="26" customFormat="false" ht="15" hidden="false" customHeight="false" outlineLevel="0" collapsed="false">
      <c r="A26" s="0"/>
      <c r="B26" s="0"/>
      <c r="C26" s="0"/>
    </row>
    <row r="27" customFormat="false" ht="15" hidden="false" customHeight="false" outlineLevel="0" collapsed="false">
      <c r="A27" s="0"/>
      <c r="B27" s="0"/>
      <c r="C27" s="0"/>
    </row>
    <row r="28" customFormat="false" ht="15" hidden="false" customHeight="false" outlineLevel="0" collapsed="false">
      <c r="A28" s="0"/>
      <c r="B28" s="0"/>
      <c r="C28" s="0"/>
    </row>
    <row r="29" customFormat="false" ht="15" hidden="false" customHeight="false" outlineLevel="0" collapsed="false">
      <c r="A29" s="0"/>
      <c r="B29" s="0"/>
      <c r="C29" s="0"/>
    </row>
    <row r="30" customFormat="false" ht="15" hidden="false" customHeight="false" outlineLevel="0" collapsed="false">
      <c r="A30" s="0"/>
      <c r="B30" s="0"/>
      <c r="C30" s="0"/>
    </row>
    <row r="31" customFormat="false" ht="15" hidden="false" customHeight="false" outlineLevel="0" collapsed="false">
      <c r="A31" s="0"/>
      <c r="B31" s="0"/>
      <c r="C31" s="0"/>
    </row>
    <row r="32" customFormat="false" ht="15" hidden="false" customHeight="false" outlineLevel="0" collapsed="false">
      <c r="A32" s="0"/>
      <c r="B32" s="0"/>
      <c r="C32" s="0"/>
    </row>
    <row r="37" customFormat="false" ht="15" hidden="false" customHeight="false" outlineLevel="0" collapsed="false">
      <c r="A37" s="15" t="s">
        <v>72</v>
      </c>
      <c r="B37" s="65" t="s">
        <v>3</v>
      </c>
      <c r="C37" s="0"/>
    </row>
    <row r="38" customFormat="false" ht="15" hidden="false" customHeight="false" outlineLevel="0" collapsed="false">
      <c r="A38" s="18" t="s">
        <v>1</v>
      </c>
      <c r="B38" s="20" t="s">
        <v>20</v>
      </c>
      <c r="C38" s="0"/>
    </row>
    <row r="39" customFormat="false" ht="15" hidden="false" customHeight="false" outlineLevel="0" collapsed="false">
      <c r="A39" s="21" t="s">
        <v>20</v>
      </c>
      <c r="B39" s="23"/>
      <c r="C39" s="0"/>
    </row>
    <row r="40" customFormat="false" ht="15" hidden="false" customHeight="false" outlineLevel="0" collapsed="false">
      <c r="A40" s="0"/>
      <c r="B40" s="0"/>
      <c r="C40" s="0"/>
    </row>
    <row r="41" customFormat="false" ht="15" hidden="false" customHeight="false" outlineLevel="0" collapsed="false">
      <c r="A41" s="0"/>
      <c r="B41" s="0"/>
      <c r="C41" s="0"/>
    </row>
    <row r="42" customFormat="false" ht="15" hidden="false" customHeight="false" outlineLevel="0" collapsed="false">
      <c r="A42" s="0"/>
      <c r="B42" s="0"/>
      <c r="C42" s="0"/>
    </row>
    <row r="43" customFormat="false" ht="15" hidden="false" customHeight="false" outlineLevel="0" collapsed="false">
      <c r="A43" s="0"/>
      <c r="B43" s="0"/>
      <c r="C43" s="0"/>
    </row>
    <row r="44" customFormat="false" ht="15" hidden="false" customHeight="false" outlineLevel="0" collapsed="false">
      <c r="A44" s="0"/>
      <c r="B44" s="0"/>
      <c r="C44" s="0"/>
    </row>
    <row r="45" customFormat="false" ht="15" hidden="false" customHeight="false" outlineLevel="0" collapsed="false">
      <c r="A45" s="0"/>
      <c r="B45" s="0"/>
      <c r="C45" s="0"/>
    </row>
    <row r="46" customFormat="false" ht="15" hidden="false" customHeight="false" outlineLevel="0" collapsed="false">
      <c r="A46" s="0"/>
      <c r="B46" s="0"/>
      <c r="C46" s="0"/>
    </row>
    <row r="47" customFormat="false" ht="15" hidden="false" customHeight="false" outlineLevel="0" collapsed="false">
      <c r="A47" s="0"/>
      <c r="B47" s="0"/>
      <c r="C47" s="0"/>
    </row>
    <row r="48" customFormat="false" ht="15" hidden="false" customHeight="false" outlineLevel="0" collapsed="false">
      <c r="A48" s="0"/>
      <c r="B48" s="0"/>
      <c r="C48" s="0"/>
    </row>
    <row r="49" customFormat="false" ht="15" hidden="false" customHeight="false" outlineLevel="0" collapsed="false">
      <c r="A49" s="0"/>
      <c r="B49" s="0"/>
      <c r="C49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2" min="2" style="1" width="9.71"/>
    <col collapsed="false" customWidth="true" hidden="false" outlineLevel="0" max="3" min="3" style="1" width="7.86"/>
    <col collapsed="false" customWidth="true" hidden="false" outlineLevel="0" max="4" min="4" style="1" width="12.15"/>
    <col collapsed="false" customWidth="true" hidden="false" outlineLevel="0" max="6" min="6" style="1" width="18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7" t="n">
        <v>1</v>
      </c>
      <c r="B2" s="7" t="n">
        <f aca="false">RANDBETWEEN(30,50)</f>
        <v>49</v>
      </c>
      <c r="C2" s="7" t="n">
        <f aca="false">RANDBETWEEN(0,1)</f>
        <v>0</v>
      </c>
      <c r="D2" s="7" t="str">
        <f aca="false">IF(C2=0, "Homme", "Femme")</f>
        <v>Homme</v>
      </c>
      <c r="E2" s="7" t="n">
        <f aca="false">RANDBETWEEN(1,3)</f>
        <v>1</v>
      </c>
      <c r="F2" s="7" t="str">
        <f aca="false">IF(E2=1, "Favorable", IF(E2=2, "Défavorable", "Ne se prononce pas"))</f>
        <v>Favorable</v>
      </c>
    </row>
    <row r="3" customFormat="false" ht="15" hidden="false" customHeight="false" outlineLevel="0" collapsed="false">
      <c r="A3" s="7" t="n">
        <f aca="false">A2+1</f>
        <v>2</v>
      </c>
      <c r="B3" s="7" t="n">
        <f aca="false">RANDBETWEEN(30,50)</f>
        <v>31</v>
      </c>
      <c r="C3" s="7" t="n">
        <f aca="false">RANDBETWEEN(0,1)</f>
        <v>1</v>
      </c>
      <c r="D3" s="7" t="str">
        <f aca="false">IF(C3=0, "Homme", "Femme")</f>
        <v>Femme</v>
      </c>
      <c r="E3" s="7" t="n">
        <f aca="false">RANDBETWEEN(1,3)</f>
        <v>2</v>
      </c>
      <c r="F3" s="7" t="str">
        <f aca="false">IF(E3=1, "Favorable", IF(E3=2, "Défavorable", "Ne se prononce pas"))</f>
        <v>Défavorable</v>
      </c>
    </row>
    <row r="4" customFormat="false" ht="15" hidden="false" customHeight="false" outlineLevel="0" collapsed="false">
      <c r="A4" s="7" t="n">
        <f aca="false">A3+1</f>
        <v>3</v>
      </c>
      <c r="B4" s="7" t="n">
        <f aca="false">RANDBETWEEN(30,50)</f>
        <v>45</v>
      </c>
      <c r="C4" s="7" t="n">
        <f aca="false">RANDBETWEEN(0,1)</f>
        <v>1</v>
      </c>
      <c r="D4" s="7" t="str">
        <f aca="false">IF(C4=0, "Homme", "Femme")</f>
        <v>Femme</v>
      </c>
      <c r="E4" s="7" t="n">
        <f aca="false">RANDBETWEEN(1,3)</f>
        <v>3</v>
      </c>
      <c r="F4" s="7" t="str">
        <f aca="false">IF(E4=1, "Favorable", IF(E4=2, "Défavorable", "Ne se prononce pas"))</f>
        <v>Ne se prononce pas</v>
      </c>
    </row>
    <row r="5" customFormat="false" ht="15" hidden="false" customHeight="false" outlineLevel="0" collapsed="false">
      <c r="A5" s="7" t="n">
        <f aca="false">A4+1</f>
        <v>4</v>
      </c>
      <c r="B5" s="7" t="n">
        <f aca="false">RANDBETWEEN(30,50)</f>
        <v>46</v>
      </c>
      <c r="C5" s="7" t="n">
        <f aca="false">RANDBETWEEN(0,1)</f>
        <v>1</v>
      </c>
      <c r="D5" s="7" t="str">
        <f aca="false">IF(C5=0, "Homme", "Femme")</f>
        <v>Femme</v>
      </c>
      <c r="E5" s="7" t="n">
        <f aca="false">RANDBETWEEN(1,3)</f>
        <v>2</v>
      </c>
      <c r="F5" s="7" t="str">
        <f aca="false">IF(E5=1, "Favorable", IF(E5=2, "Défavorable", "Ne se prononce pas"))</f>
        <v>Défavorable</v>
      </c>
    </row>
    <row r="6" customFormat="false" ht="15" hidden="false" customHeight="false" outlineLevel="0" collapsed="false">
      <c r="A6" s="7" t="n">
        <f aca="false">A5+1</f>
        <v>5</v>
      </c>
      <c r="B6" s="7" t="n">
        <f aca="false">RANDBETWEEN(30,50)</f>
        <v>44</v>
      </c>
      <c r="C6" s="7" t="n">
        <f aca="false">RANDBETWEEN(0,1)</f>
        <v>0</v>
      </c>
      <c r="D6" s="7" t="str">
        <f aca="false">IF(C6=0, "Homme", "Femme")</f>
        <v>Homme</v>
      </c>
      <c r="E6" s="7" t="n">
        <f aca="false">RANDBETWEEN(1,3)</f>
        <v>3</v>
      </c>
      <c r="F6" s="7" t="str">
        <f aca="false">IF(E6=1, "Favorable", IF(E6=2, "Défavorable", "Ne se prononce pas"))</f>
        <v>Ne se prononce pas</v>
      </c>
    </row>
    <row r="7" customFormat="false" ht="15" hidden="false" customHeight="false" outlineLevel="0" collapsed="false">
      <c r="A7" s="7" t="n">
        <f aca="false">A6+1</f>
        <v>6</v>
      </c>
      <c r="B7" s="7" t="n">
        <f aca="false">RANDBETWEEN(30,50)</f>
        <v>43</v>
      </c>
      <c r="C7" s="7" t="n">
        <f aca="false">RANDBETWEEN(0,1)</f>
        <v>0</v>
      </c>
      <c r="D7" s="7" t="str">
        <f aca="false">IF(C7=0, "Homme", "Femme")</f>
        <v>Homme</v>
      </c>
      <c r="E7" s="7" t="n">
        <f aca="false">RANDBETWEEN(1,3)</f>
        <v>1</v>
      </c>
      <c r="F7" s="7" t="str">
        <f aca="false">IF(E7=1, "Favorable", IF(E7=2, "Défavorable", "Ne se prononce pas"))</f>
        <v>Favorable</v>
      </c>
    </row>
    <row r="8" customFormat="false" ht="15" hidden="false" customHeight="false" outlineLevel="0" collapsed="false">
      <c r="A8" s="7" t="n">
        <f aca="false">A7+1</f>
        <v>7</v>
      </c>
      <c r="B8" s="7" t="n">
        <f aca="false">RANDBETWEEN(30,50)</f>
        <v>44</v>
      </c>
      <c r="C8" s="7" t="n">
        <f aca="false">RANDBETWEEN(0,1)</f>
        <v>1</v>
      </c>
      <c r="D8" s="7" t="str">
        <f aca="false">IF(C8=0, "Homme", "Femme")</f>
        <v>Femme</v>
      </c>
      <c r="E8" s="7" t="n">
        <f aca="false">RANDBETWEEN(1,3)</f>
        <v>1</v>
      </c>
      <c r="F8" s="7" t="str">
        <f aca="false">IF(E8=1, "Favorable", IF(E8=2, "Défavorable", "Ne se prononce pas"))</f>
        <v>Favorable</v>
      </c>
    </row>
    <row r="9" customFormat="false" ht="15" hidden="false" customHeight="false" outlineLevel="0" collapsed="false">
      <c r="A9" s="7" t="n">
        <f aca="false">A8+1</f>
        <v>8</v>
      </c>
      <c r="B9" s="7" t="n">
        <f aca="false">RANDBETWEEN(30,50)</f>
        <v>33</v>
      </c>
      <c r="C9" s="7" t="n">
        <f aca="false">RANDBETWEEN(0,1)</f>
        <v>1</v>
      </c>
      <c r="D9" s="7" t="str">
        <f aca="false">IF(C9=0, "Homme", "Femme")</f>
        <v>Femme</v>
      </c>
      <c r="E9" s="7" t="n">
        <f aca="false">RANDBETWEEN(1,3)</f>
        <v>3</v>
      </c>
      <c r="F9" s="7" t="str">
        <f aca="false">IF(E9=1, "Favorable", IF(E9=2, "Défavorable", "Ne se prononce pas"))</f>
        <v>Ne se prononce pas</v>
      </c>
    </row>
    <row r="10" customFormat="false" ht="15" hidden="false" customHeight="false" outlineLevel="0" collapsed="false">
      <c r="A10" s="7" t="n">
        <f aca="false">A9+1</f>
        <v>9</v>
      </c>
      <c r="B10" s="7" t="n">
        <f aca="false">RANDBETWEEN(30,50)</f>
        <v>36</v>
      </c>
      <c r="C10" s="7" t="n">
        <f aca="false">RANDBETWEEN(0,1)</f>
        <v>0</v>
      </c>
      <c r="D10" s="7" t="str">
        <f aca="false">IF(C10=0, "Homme", "Femme")</f>
        <v>Homme</v>
      </c>
      <c r="E10" s="7" t="n">
        <f aca="false">RANDBETWEEN(1,3)</f>
        <v>3</v>
      </c>
      <c r="F10" s="7" t="str">
        <f aca="false">IF(E10=1, "Favorable", IF(E10=2, "Défavorable", "Ne se prononce pas"))</f>
        <v>Ne se prononce pas</v>
      </c>
    </row>
    <row r="11" customFormat="false" ht="15" hidden="false" customHeight="false" outlineLevel="0" collapsed="false">
      <c r="A11" s="7" t="n">
        <f aca="false">A10+1</f>
        <v>10</v>
      </c>
      <c r="B11" s="7" t="n">
        <f aca="false">RANDBETWEEN(30,50)</f>
        <v>45</v>
      </c>
      <c r="C11" s="7" t="n">
        <f aca="false">RANDBETWEEN(0,1)</f>
        <v>0</v>
      </c>
      <c r="D11" s="7" t="str">
        <f aca="false">IF(C11=0, "Homme", "Femme")</f>
        <v>Homme</v>
      </c>
      <c r="E11" s="7" t="n">
        <f aca="false">RANDBETWEEN(1,3)</f>
        <v>3</v>
      </c>
      <c r="F11" s="7" t="str">
        <f aca="false">IF(E11=1, "Favorable", IF(E11=2, "Défavorable", "Ne se prononce pas"))</f>
        <v>Ne se prononce pas</v>
      </c>
    </row>
    <row r="12" customFormat="false" ht="15" hidden="false" customHeight="false" outlineLevel="0" collapsed="false">
      <c r="A12" s="7" t="n">
        <f aca="false">A11+1</f>
        <v>11</v>
      </c>
      <c r="B12" s="7" t="n">
        <f aca="false">RANDBETWEEN(30,50)</f>
        <v>30</v>
      </c>
      <c r="C12" s="7" t="n">
        <f aca="false">RANDBETWEEN(0,1)</f>
        <v>1</v>
      </c>
      <c r="D12" s="7" t="str">
        <f aca="false">IF(C12=0, "Homme", "Femme")</f>
        <v>Femme</v>
      </c>
      <c r="E12" s="7" t="n">
        <f aca="false">RANDBETWEEN(1,3)</f>
        <v>2</v>
      </c>
      <c r="F12" s="7" t="str">
        <f aca="false">IF(E12=1, "Favorable", IF(E12=2, "Défavorable", "Ne se prononce pas"))</f>
        <v>Défavorable</v>
      </c>
    </row>
    <row r="13" customFormat="false" ht="15" hidden="false" customHeight="false" outlineLevel="0" collapsed="false">
      <c r="A13" s="7" t="n">
        <f aca="false">A12+1</f>
        <v>12</v>
      </c>
      <c r="B13" s="7" t="n">
        <f aca="false">RANDBETWEEN(30,50)</f>
        <v>31</v>
      </c>
      <c r="C13" s="7" t="n">
        <f aca="false">RANDBETWEEN(0,1)</f>
        <v>1</v>
      </c>
      <c r="D13" s="7" t="str">
        <f aca="false">IF(C13=0, "Homme", "Femme")</f>
        <v>Femme</v>
      </c>
      <c r="E13" s="7" t="n">
        <f aca="false">RANDBETWEEN(1,3)</f>
        <v>1</v>
      </c>
      <c r="F13" s="7" t="str">
        <f aca="false">IF(E13=1, "Favorable", IF(E13=2, "Défavorable", "Ne se prononce pas"))</f>
        <v>Favorable</v>
      </c>
    </row>
    <row r="14" customFormat="false" ht="15" hidden="false" customHeight="false" outlineLevel="0" collapsed="false">
      <c r="A14" s="7" t="n">
        <f aca="false">A13+1</f>
        <v>13</v>
      </c>
      <c r="B14" s="7" t="n">
        <f aca="false">RANDBETWEEN(30,50)</f>
        <v>46</v>
      </c>
      <c r="C14" s="7" t="n">
        <f aca="false">RANDBETWEEN(0,1)</f>
        <v>0</v>
      </c>
      <c r="D14" s="7" t="str">
        <f aca="false">IF(C14=0, "Homme", "Femme")</f>
        <v>Homme</v>
      </c>
      <c r="E14" s="7" t="n">
        <f aca="false">RANDBETWEEN(1,3)</f>
        <v>3</v>
      </c>
      <c r="F14" s="7" t="str">
        <f aca="false">IF(E14=1, "Favorable", IF(E14=2, "Défavorable", "Ne se prononce pas"))</f>
        <v>Ne se prononce pas</v>
      </c>
    </row>
    <row r="15" customFormat="false" ht="15" hidden="false" customHeight="false" outlineLevel="0" collapsed="false">
      <c r="A15" s="7" t="n">
        <f aca="false">A14+1</f>
        <v>14</v>
      </c>
      <c r="B15" s="7" t="n">
        <f aca="false">RANDBETWEEN(30,50)</f>
        <v>38</v>
      </c>
      <c r="C15" s="7" t="n">
        <f aca="false">RANDBETWEEN(0,1)</f>
        <v>0</v>
      </c>
      <c r="D15" s="7" t="str">
        <f aca="false">IF(C15=0, "Homme", "Femme")</f>
        <v>Homme</v>
      </c>
      <c r="E15" s="7" t="n">
        <f aca="false">RANDBETWEEN(1,3)</f>
        <v>3</v>
      </c>
      <c r="F15" s="7" t="str">
        <f aca="false">IF(E15=1, "Favorable", IF(E15=2, "Défavorable", "Ne se prononce pas"))</f>
        <v>Ne se prononce pas</v>
      </c>
    </row>
    <row r="16" customFormat="false" ht="15" hidden="false" customHeight="false" outlineLevel="0" collapsed="false">
      <c r="A16" s="7" t="n">
        <f aca="false">A15+1</f>
        <v>15</v>
      </c>
      <c r="B16" s="7" t="n">
        <f aca="false">RANDBETWEEN(30,50)</f>
        <v>48</v>
      </c>
      <c r="C16" s="7" t="n">
        <f aca="false">RANDBETWEEN(0,1)</f>
        <v>1</v>
      </c>
      <c r="D16" s="7" t="str">
        <f aca="false">IF(C16=0, "Homme", "Femme")</f>
        <v>Femme</v>
      </c>
      <c r="E16" s="7" t="n">
        <f aca="false">RANDBETWEEN(1,3)</f>
        <v>2</v>
      </c>
      <c r="F16" s="7" t="str">
        <f aca="false">IF(E16=1, "Favorable", IF(E16=2, "Défavorable", "Ne se prononce pas"))</f>
        <v>Défavorable</v>
      </c>
    </row>
    <row r="17" customFormat="false" ht="15" hidden="false" customHeight="false" outlineLevel="0" collapsed="false">
      <c r="A17" s="7" t="n">
        <f aca="false">A16+1</f>
        <v>16</v>
      </c>
      <c r="B17" s="7" t="n">
        <f aca="false">RANDBETWEEN(30,50)</f>
        <v>46</v>
      </c>
      <c r="C17" s="7" t="n">
        <f aca="false">RANDBETWEEN(0,1)</f>
        <v>0</v>
      </c>
      <c r="D17" s="7" t="str">
        <f aca="false">IF(C17=0, "Homme", "Femme")</f>
        <v>Homme</v>
      </c>
      <c r="E17" s="7" t="n">
        <f aca="false">RANDBETWEEN(1,3)</f>
        <v>3</v>
      </c>
      <c r="F17" s="7" t="str">
        <f aca="false">IF(E17=1, "Favorable", IF(E17=2, "Défavorable", "Ne se prononce pas"))</f>
        <v>Ne se prononce pas</v>
      </c>
    </row>
    <row r="18" customFormat="false" ht="15" hidden="false" customHeight="false" outlineLevel="0" collapsed="false">
      <c r="A18" s="7" t="n">
        <f aca="false">A17+1</f>
        <v>17</v>
      </c>
      <c r="B18" s="7" t="n">
        <f aca="false">RANDBETWEEN(30,50)</f>
        <v>32</v>
      </c>
      <c r="C18" s="7" t="n">
        <f aca="false">RANDBETWEEN(0,1)</f>
        <v>1</v>
      </c>
      <c r="D18" s="7" t="str">
        <f aca="false">IF(C18=0, "Homme", "Femme")</f>
        <v>Femme</v>
      </c>
      <c r="E18" s="7" t="n">
        <f aca="false">RANDBETWEEN(1,3)</f>
        <v>2</v>
      </c>
      <c r="F18" s="7" t="str">
        <f aca="false">IF(E18=1, "Favorable", IF(E18=2, "Défavorable", "Ne se prononce pas"))</f>
        <v>Défavorable</v>
      </c>
    </row>
    <row r="19" customFormat="false" ht="15" hidden="false" customHeight="false" outlineLevel="0" collapsed="false">
      <c r="A19" s="7" t="n">
        <f aca="false">A18+1</f>
        <v>18</v>
      </c>
      <c r="B19" s="7" t="n">
        <f aca="false">RANDBETWEEN(30,50)</f>
        <v>48</v>
      </c>
      <c r="C19" s="7" t="n">
        <f aca="false">RANDBETWEEN(0,1)</f>
        <v>1</v>
      </c>
      <c r="D19" s="7" t="str">
        <f aca="false">IF(C19=0, "Homme", "Femme")</f>
        <v>Femme</v>
      </c>
      <c r="E19" s="7" t="n">
        <f aca="false">RANDBETWEEN(1,3)</f>
        <v>3</v>
      </c>
      <c r="F19" s="7" t="str">
        <f aca="false">IF(E19=1, "Favorable", IF(E19=2, "Défavorable", "Ne se prononce pas"))</f>
        <v>Ne se prononce pas</v>
      </c>
    </row>
    <row r="20" customFormat="false" ht="15" hidden="false" customHeight="false" outlineLevel="0" collapsed="false">
      <c r="A20" s="7" t="n">
        <f aca="false">A19+1</f>
        <v>19</v>
      </c>
      <c r="B20" s="7" t="n">
        <f aca="false">RANDBETWEEN(30,50)</f>
        <v>48</v>
      </c>
      <c r="C20" s="7" t="n">
        <f aca="false">RANDBETWEEN(0,1)</f>
        <v>0</v>
      </c>
      <c r="D20" s="7" t="str">
        <f aca="false">IF(C20=0, "Homme", "Femme")</f>
        <v>Homme</v>
      </c>
      <c r="E20" s="7" t="n">
        <f aca="false">RANDBETWEEN(1,3)</f>
        <v>3</v>
      </c>
      <c r="F20" s="7" t="str">
        <f aca="false">IF(E20=1, "Favorable", IF(E20=2, "Défavorable", "Ne se prononce pas"))</f>
        <v>Ne se prononce pas</v>
      </c>
    </row>
    <row r="21" customFormat="false" ht="15" hidden="false" customHeight="false" outlineLevel="0" collapsed="false">
      <c r="A21" s="7" t="n">
        <f aca="false">A20+1</f>
        <v>20</v>
      </c>
      <c r="B21" s="7" t="n">
        <f aca="false">RANDBETWEEN(30,50)</f>
        <v>32</v>
      </c>
      <c r="C21" s="7" t="n">
        <f aca="false">RANDBETWEEN(0,1)</f>
        <v>0</v>
      </c>
      <c r="D21" s="7" t="str">
        <f aca="false">IF(C21=0, "Homme", "Femme")</f>
        <v>Homme</v>
      </c>
      <c r="E21" s="7" t="n">
        <f aca="false">RANDBETWEEN(1,3)</f>
        <v>2</v>
      </c>
      <c r="F21" s="7" t="str">
        <f aca="false">IF(E21=1, "Favorable", IF(E21=2, "Défavorable", "Ne se prononce pas"))</f>
        <v>Défavorable</v>
      </c>
    </row>
    <row r="22" customFormat="false" ht="15" hidden="false" customHeight="false" outlineLevel="0" collapsed="false">
      <c r="A22" s="7" t="n">
        <f aca="false">A21+1</f>
        <v>21</v>
      </c>
      <c r="B22" s="7" t="n">
        <f aca="false">RANDBETWEEN(30,50)</f>
        <v>36</v>
      </c>
      <c r="C22" s="7" t="n">
        <f aca="false">RANDBETWEEN(0,1)</f>
        <v>0</v>
      </c>
      <c r="D22" s="7" t="str">
        <f aca="false">IF(C22=0, "Homme", "Femme")</f>
        <v>Homme</v>
      </c>
      <c r="E22" s="7" t="n">
        <f aca="false">RANDBETWEEN(1,3)</f>
        <v>3</v>
      </c>
      <c r="F22" s="7" t="str">
        <f aca="false">IF(E22=1, "Favorable", IF(E22=2, "Défavorable", "Ne se prononce pas"))</f>
        <v>Ne se prononce pas</v>
      </c>
    </row>
    <row r="23" customFormat="false" ht="15" hidden="false" customHeight="false" outlineLevel="0" collapsed="false">
      <c r="A23" s="7" t="n">
        <f aca="false">A22+1</f>
        <v>22</v>
      </c>
      <c r="B23" s="7" t="n">
        <f aca="false">RANDBETWEEN(30,50)</f>
        <v>33</v>
      </c>
      <c r="C23" s="7" t="n">
        <f aca="false">RANDBETWEEN(0,1)</f>
        <v>0</v>
      </c>
      <c r="D23" s="7" t="str">
        <f aca="false">IF(C23=0, "Homme", "Femme")</f>
        <v>Homme</v>
      </c>
      <c r="E23" s="7" t="n">
        <f aca="false">RANDBETWEEN(1,3)</f>
        <v>3</v>
      </c>
      <c r="F23" s="7" t="str">
        <f aca="false">IF(E23=1, "Favorable", IF(E23=2, "Défavorable", "Ne se prononce pas"))</f>
        <v>Ne se prononce pas</v>
      </c>
    </row>
    <row r="24" customFormat="false" ht="15" hidden="false" customHeight="false" outlineLevel="0" collapsed="false">
      <c r="A24" s="7" t="n">
        <f aca="false">A23+1</f>
        <v>23</v>
      </c>
      <c r="B24" s="7" t="n">
        <f aca="false">RANDBETWEEN(30,50)</f>
        <v>34</v>
      </c>
      <c r="C24" s="7" t="n">
        <f aca="false">RANDBETWEEN(0,1)</f>
        <v>0</v>
      </c>
      <c r="D24" s="7" t="str">
        <f aca="false">IF(C24=0, "Homme", "Femme")</f>
        <v>Homme</v>
      </c>
      <c r="E24" s="7" t="n">
        <f aca="false">RANDBETWEEN(1,3)</f>
        <v>2</v>
      </c>
      <c r="F24" s="7" t="str">
        <f aca="false">IF(E24=1, "Favorable", IF(E24=2, "Défavorable", "Ne se prononce pas"))</f>
        <v>Défavorable</v>
      </c>
    </row>
    <row r="25" customFormat="false" ht="15" hidden="false" customHeight="false" outlineLevel="0" collapsed="false">
      <c r="A25" s="7" t="n">
        <f aca="false">A24+1</f>
        <v>24</v>
      </c>
      <c r="B25" s="7" t="n">
        <f aca="false">RANDBETWEEN(30,50)</f>
        <v>31</v>
      </c>
      <c r="C25" s="7" t="n">
        <f aca="false">RANDBETWEEN(0,1)</f>
        <v>0</v>
      </c>
      <c r="D25" s="7" t="str">
        <f aca="false">IF(C25=0, "Homme", "Femme")</f>
        <v>Homme</v>
      </c>
      <c r="E25" s="7" t="n">
        <f aca="false">RANDBETWEEN(1,3)</f>
        <v>2</v>
      </c>
      <c r="F25" s="7" t="str">
        <f aca="false">IF(E25=1, "Favorable", IF(E25=2, "Défavorable", "Ne se prononce pas"))</f>
        <v>Défavorable</v>
      </c>
    </row>
    <row r="26" customFormat="false" ht="15" hidden="false" customHeight="false" outlineLevel="0" collapsed="false">
      <c r="A26" s="7" t="n">
        <f aca="false">A25+1</f>
        <v>25</v>
      </c>
      <c r="B26" s="7" t="n">
        <f aca="false">RANDBETWEEN(30,50)</f>
        <v>32</v>
      </c>
      <c r="C26" s="7" t="n">
        <f aca="false">RANDBETWEEN(0,1)</f>
        <v>1</v>
      </c>
      <c r="D26" s="7" t="str">
        <f aca="false">IF(C26=0, "Homme", "Femme")</f>
        <v>Femme</v>
      </c>
      <c r="E26" s="7" t="n">
        <f aca="false">RANDBETWEEN(1,3)</f>
        <v>2</v>
      </c>
      <c r="F26" s="7" t="str">
        <f aca="false">IF(E26=1, "Favorable", IF(E26=2, "Défavorable", "Ne se prononce pas"))</f>
        <v>Défavorable</v>
      </c>
    </row>
    <row r="27" customFormat="false" ht="15" hidden="false" customHeight="false" outlineLevel="0" collapsed="false">
      <c r="A27" s="7" t="n">
        <f aca="false">A26+1</f>
        <v>26</v>
      </c>
      <c r="B27" s="7" t="n">
        <f aca="false">RANDBETWEEN(30,50)</f>
        <v>40</v>
      </c>
      <c r="C27" s="7" t="n">
        <f aca="false">RANDBETWEEN(0,1)</f>
        <v>1</v>
      </c>
      <c r="D27" s="7" t="str">
        <f aca="false">IF(C27=0, "Homme", "Femme")</f>
        <v>Femme</v>
      </c>
      <c r="E27" s="7" t="n">
        <f aca="false">RANDBETWEEN(1,3)</f>
        <v>2</v>
      </c>
      <c r="F27" s="7" t="str">
        <f aca="false">IF(E27=1, "Favorable", IF(E27=2, "Défavorable", "Ne se prononce pas"))</f>
        <v>Défavorable</v>
      </c>
    </row>
    <row r="28" customFormat="false" ht="15" hidden="false" customHeight="false" outlineLevel="0" collapsed="false">
      <c r="A28" s="7" t="n">
        <f aca="false">A27+1</f>
        <v>27</v>
      </c>
      <c r="B28" s="7" t="n">
        <f aca="false">RANDBETWEEN(30,50)</f>
        <v>42</v>
      </c>
      <c r="C28" s="7" t="n">
        <f aca="false">RANDBETWEEN(0,1)</f>
        <v>0</v>
      </c>
      <c r="D28" s="7" t="str">
        <f aca="false">IF(C28=0, "Homme", "Femme")</f>
        <v>Homme</v>
      </c>
      <c r="E28" s="7" t="n">
        <f aca="false">RANDBETWEEN(1,3)</f>
        <v>2</v>
      </c>
      <c r="F28" s="7" t="str">
        <f aca="false">IF(E28=1, "Favorable", IF(E28=2, "Défavorable", "Ne se prononce pas"))</f>
        <v>Défavorable</v>
      </c>
    </row>
    <row r="29" customFormat="false" ht="15" hidden="false" customHeight="false" outlineLevel="0" collapsed="false">
      <c r="A29" s="7" t="n">
        <f aca="false">A28+1</f>
        <v>28</v>
      </c>
      <c r="B29" s="7" t="n">
        <f aca="false">RANDBETWEEN(30,50)</f>
        <v>30</v>
      </c>
      <c r="C29" s="7" t="n">
        <f aca="false">RANDBETWEEN(0,1)</f>
        <v>0</v>
      </c>
      <c r="D29" s="7" t="str">
        <f aca="false">IF(C29=0, "Homme", "Femme")</f>
        <v>Homme</v>
      </c>
      <c r="E29" s="7" t="n">
        <f aca="false">RANDBETWEEN(1,3)</f>
        <v>2</v>
      </c>
      <c r="F29" s="7" t="str">
        <f aca="false">IF(E29=1, "Favorable", IF(E29=2, "Défavorable", "Ne se prononce pas"))</f>
        <v>Défavorable</v>
      </c>
    </row>
    <row r="30" customFormat="false" ht="15" hidden="false" customHeight="false" outlineLevel="0" collapsed="false">
      <c r="A30" s="7" t="n">
        <f aca="false">A29+1</f>
        <v>29</v>
      </c>
      <c r="B30" s="7" t="n">
        <f aca="false">RANDBETWEEN(30,50)</f>
        <v>45</v>
      </c>
      <c r="C30" s="7" t="n">
        <f aca="false">RANDBETWEEN(0,1)</f>
        <v>1</v>
      </c>
      <c r="D30" s="7" t="str">
        <f aca="false">IF(C30=0, "Homme", "Femme")</f>
        <v>Femme</v>
      </c>
      <c r="E30" s="7" t="n">
        <f aca="false">RANDBETWEEN(1,3)</f>
        <v>2</v>
      </c>
      <c r="F30" s="7" t="str">
        <f aca="false">IF(E30=1, "Favorable", IF(E30=2, "Défavorable", "Ne se prononce pas"))</f>
        <v>Défavorable</v>
      </c>
    </row>
    <row r="31" customFormat="false" ht="15" hidden="false" customHeight="false" outlineLevel="0" collapsed="false">
      <c r="A31" s="7" t="n">
        <f aca="false">A30+1</f>
        <v>30</v>
      </c>
      <c r="B31" s="7" t="n">
        <f aca="false">RANDBETWEEN(30,50)</f>
        <v>48</v>
      </c>
      <c r="C31" s="7" t="n">
        <f aca="false">RANDBETWEEN(0,1)</f>
        <v>0</v>
      </c>
      <c r="D31" s="7" t="str">
        <f aca="false">IF(C31=0, "Homme", "Femme")</f>
        <v>Homme</v>
      </c>
      <c r="E31" s="7" t="n">
        <f aca="false">RANDBETWEEN(1,3)</f>
        <v>2</v>
      </c>
      <c r="F31" s="7" t="str">
        <f aca="false">IF(E31=1, "Favorable", IF(E31=2, "Défavorable", "Ne se prononce pas"))</f>
        <v>Défavorable</v>
      </c>
    </row>
    <row r="32" customFormat="false" ht="15" hidden="false" customHeight="false" outlineLevel="0" collapsed="false">
      <c r="A32" s="7" t="n">
        <f aca="false">A31+1</f>
        <v>31</v>
      </c>
      <c r="B32" s="7" t="n">
        <f aca="false">RANDBETWEEN(30,50)</f>
        <v>33</v>
      </c>
      <c r="C32" s="7" t="n">
        <f aca="false">RANDBETWEEN(0,1)</f>
        <v>0</v>
      </c>
      <c r="D32" s="7" t="str">
        <f aca="false">IF(C32=0, "Homme", "Femme")</f>
        <v>Homme</v>
      </c>
      <c r="E32" s="7" t="n">
        <f aca="false">RANDBETWEEN(1,3)</f>
        <v>1</v>
      </c>
      <c r="F32" s="7" t="str">
        <f aca="false">IF(E32=1, "Favorable", IF(E32=2, "Défavorable", "Ne se prononce pas"))</f>
        <v>Favorable</v>
      </c>
    </row>
    <row r="33" customFormat="false" ht="15" hidden="false" customHeight="false" outlineLevel="0" collapsed="false">
      <c r="A33" s="7" t="n">
        <f aca="false">A32+1</f>
        <v>32</v>
      </c>
      <c r="B33" s="7" t="n">
        <f aca="false">RANDBETWEEN(30,50)</f>
        <v>36</v>
      </c>
      <c r="C33" s="7" t="n">
        <f aca="false">RANDBETWEEN(0,1)</f>
        <v>0</v>
      </c>
      <c r="D33" s="7" t="str">
        <f aca="false">IF(C33=0, "Homme", "Femme")</f>
        <v>Homme</v>
      </c>
      <c r="E33" s="7" t="n">
        <f aca="false">RANDBETWEEN(1,3)</f>
        <v>1</v>
      </c>
      <c r="F33" s="7" t="str">
        <f aca="false">IF(E33=1, "Favorable", IF(E33=2, "Défavorable", "Ne se prononce pas"))</f>
        <v>Favorable</v>
      </c>
    </row>
    <row r="34" customFormat="false" ht="15" hidden="false" customHeight="false" outlineLevel="0" collapsed="false">
      <c r="A34" s="7" t="n">
        <f aca="false">A33+1</f>
        <v>33</v>
      </c>
      <c r="B34" s="7" t="n">
        <f aca="false">RANDBETWEEN(30,50)</f>
        <v>33</v>
      </c>
      <c r="C34" s="7" t="n">
        <f aca="false">RANDBETWEEN(0,1)</f>
        <v>1</v>
      </c>
      <c r="D34" s="7" t="str">
        <f aca="false">IF(C34=0, "Homme", "Femme")</f>
        <v>Femme</v>
      </c>
      <c r="E34" s="7" t="n">
        <f aca="false">RANDBETWEEN(1,3)</f>
        <v>2</v>
      </c>
      <c r="F34" s="7" t="str">
        <f aca="false">IF(E34=1, "Favorable", IF(E34=2, "Défavorable", "Ne se prononce pas"))</f>
        <v>Défavorable</v>
      </c>
    </row>
    <row r="35" customFormat="false" ht="15" hidden="false" customHeight="false" outlineLevel="0" collapsed="false">
      <c r="A35" s="7" t="n">
        <f aca="false">A34+1</f>
        <v>34</v>
      </c>
      <c r="B35" s="7" t="n">
        <f aca="false">RANDBETWEEN(30,50)</f>
        <v>48</v>
      </c>
      <c r="C35" s="7" t="n">
        <f aca="false">RANDBETWEEN(0,1)</f>
        <v>0</v>
      </c>
      <c r="D35" s="7" t="str">
        <f aca="false">IF(C35=0, "Homme", "Femme")</f>
        <v>Homme</v>
      </c>
      <c r="E35" s="7" t="n">
        <f aca="false">RANDBETWEEN(1,3)</f>
        <v>2</v>
      </c>
      <c r="F35" s="7" t="str">
        <f aca="false">IF(E35=1, "Favorable", IF(E35=2, "Défavorable", "Ne se prononce pas"))</f>
        <v>Défavorable</v>
      </c>
    </row>
    <row r="36" customFormat="false" ht="15" hidden="false" customHeight="false" outlineLevel="0" collapsed="false">
      <c r="A36" s="7" t="n">
        <f aca="false">A35+1</f>
        <v>35</v>
      </c>
      <c r="B36" s="7" t="n">
        <f aca="false">RANDBETWEEN(30,50)</f>
        <v>37</v>
      </c>
      <c r="C36" s="7" t="n">
        <f aca="false">RANDBETWEEN(0,1)</f>
        <v>1</v>
      </c>
      <c r="D36" s="7" t="str">
        <f aca="false">IF(C36=0, "Homme", "Femme")</f>
        <v>Femme</v>
      </c>
      <c r="E36" s="7" t="n">
        <f aca="false">RANDBETWEEN(1,3)</f>
        <v>1</v>
      </c>
      <c r="F36" s="7" t="str">
        <f aca="false">IF(E36=1, "Favorable", IF(E36=2, "Défavorable", "Ne se prononce pas"))</f>
        <v>Favorable</v>
      </c>
    </row>
    <row r="37" customFormat="false" ht="15" hidden="false" customHeight="false" outlineLevel="0" collapsed="false">
      <c r="A37" s="7" t="n">
        <f aca="false">A36+1</f>
        <v>36</v>
      </c>
      <c r="B37" s="7" t="n">
        <f aca="false">RANDBETWEEN(30,50)</f>
        <v>30</v>
      </c>
      <c r="C37" s="7" t="n">
        <f aca="false">RANDBETWEEN(0,1)</f>
        <v>0</v>
      </c>
      <c r="D37" s="7" t="str">
        <f aca="false">IF(C37=0, "Homme", "Femme")</f>
        <v>Homme</v>
      </c>
      <c r="E37" s="7" t="n">
        <f aca="false">RANDBETWEEN(1,3)</f>
        <v>2</v>
      </c>
      <c r="F37" s="7" t="str">
        <f aca="false">IF(E37=1, "Favorable", IF(E37=2, "Défavorable", "Ne se prononce pas"))</f>
        <v>Défavorable</v>
      </c>
    </row>
    <row r="38" customFormat="false" ht="15" hidden="false" customHeight="false" outlineLevel="0" collapsed="false">
      <c r="A38" s="7" t="n">
        <f aca="false">A37+1</f>
        <v>37</v>
      </c>
      <c r="B38" s="7" t="n">
        <f aca="false">RANDBETWEEN(30,50)</f>
        <v>47</v>
      </c>
      <c r="C38" s="7" t="n">
        <f aca="false">RANDBETWEEN(0,1)</f>
        <v>1</v>
      </c>
      <c r="D38" s="7" t="str">
        <f aca="false">IF(C38=0, "Homme", "Femme")</f>
        <v>Femme</v>
      </c>
      <c r="E38" s="7" t="n">
        <f aca="false">RANDBETWEEN(1,3)</f>
        <v>1</v>
      </c>
      <c r="F38" s="7" t="str">
        <f aca="false">IF(E38=1, "Favorable", IF(E38=2, "Défavorable", "Ne se prononce pas"))</f>
        <v>Favorable</v>
      </c>
    </row>
    <row r="39" customFormat="false" ht="15" hidden="false" customHeight="false" outlineLevel="0" collapsed="false">
      <c r="A39" s="7" t="n">
        <f aca="false">A38+1</f>
        <v>38</v>
      </c>
      <c r="B39" s="7" t="n">
        <f aca="false">RANDBETWEEN(30,50)</f>
        <v>50</v>
      </c>
      <c r="C39" s="7" t="n">
        <f aca="false">RANDBETWEEN(0,1)</f>
        <v>1</v>
      </c>
      <c r="D39" s="7" t="str">
        <f aca="false">IF(C39=0, "Homme", "Femme")</f>
        <v>Femme</v>
      </c>
      <c r="E39" s="7" t="n">
        <f aca="false">RANDBETWEEN(1,3)</f>
        <v>3</v>
      </c>
      <c r="F39" s="7" t="str">
        <f aca="false">IF(E39=1, "Favorable", IF(E39=2, "Défavorable", "Ne se prononce pas"))</f>
        <v>Ne se prononce pas</v>
      </c>
    </row>
    <row r="40" customFormat="false" ht="15" hidden="false" customHeight="false" outlineLevel="0" collapsed="false">
      <c r="A40" s="7" t="n">
        <f aca="false">A39+1</f>
        <v>39</v>
      </c>
      <c r="B40" s="7" t="n">
        <f aca="false">RANDBETWEEN(30,50)</f>
        <v>38</v>
      </c>
      <c r="C40" s="7" t="n">
        <f aca="false">RANDBETWEEN(0,1)</f>
        <v>1</v>
      </c>
      <c r="D40" s="7" t="str">
        <f aca="false">IF(C40=0, "Homme", "Femme")</f>
        <v>Femme</v>
      </c>
      <c r="E40" s="7" t="n">
        <f aca="false">RANDBETWEEN(1,3)</f>
        <v>3</v>
      </c>
      <c r="F40" s="7" t="str">
        <f aca="false">IF(E40=1, "Favorable", IF(E40=2, "Défavorable", "Ne se prononce pas"))</f>
        <v>Ne se prononce pas</v>
      </c>
    </row>
    <row r="41" customFormat="false" ht="15" hidden="false" customHeight="false" outlineLevel="0" collapsed="false">
      <c r="A41" s="7" t="n">
        <f aca="false">A40+1</f>
        <v>40</v>
      </c>
      <c r="B41" s="7" t="n">
        <f aca="false">RANDBETWEEN(30,50)</f>
        <v>35</v>
      </c>
      <c r="C41" s="7" t="n">
        <f aca="false">RANDBETWEEN(0,1)</f>
        <v>0</v>
      </c>
      <c r="D41" s="7" t="str">
        <f aca="false">IF(C41=0, "Homme", "Femme")</f>
        <v>Homme</v>
      </c>
      <c r="E41" s="7" t="n">
        <f aca="false">RANDBETWEEN(1,3)</f>
        <v>2</v>
      </c>
      <c r="F41" s="7" t="str">
        <f aca="false">IF(E41=1, "Favorable", IF(E41=2, "Défavorable", "Ne se prononce pas"))</f>
        <v>Défavorable</v>
      </c>
    </row>
    <row r="42" customFormat="false" ht="15" hidden="false" customHeight="false" outlineLevel="0" collapsed="false">
      <c r="A42" s="7" t="n">
        <f aca="false">A41+1</f>
        <v>41</v>
      </c>
      <c r="B42" s="7" t="n">
        <f aca="false">RANDBETWEEN(30,50)</f>
        <v>31</v>
      </c>
      <c r="C42" s="7" t="n">
        <f aca="false">RANDBETWEEN(0,1)</f>
        <v>1</v>
      </c>
      <c r="D42" s="7" t="str">
        <f aca="false">IF(C42=0, "Homme", "Femme")</f>
        <v>Femme</v>
      </c>
      <c r="E42" s="7" t="n">
        <f aca="false">RANDBETWEEN(1,3)</f>
        <v>1</v>
      </c>
      <c r="F42" s="7" t="str">
        <f aca="false">IF(E42=1, "Favorable", IF(E42=2, "Défavorable", "Ne se prononce pas"))</f>
        <v>Favorable</v>
      </c>
    </row>
    <row r="43" customFormat="false" ht="15" hidden="false" customHeight="false" outlineLevel="0" collapsed="false">
      <c r="A43" s="7" t="n">
        <f aca="false">A42+1</f>
        <v>42</v>
      </c>
      <c r="B43" s="7" t="n">
        <f aca="false">RANDBETWEEN(30,50)</f>
        <v>33</v>
      </c>
      <c r="C43" s="7" t="n">
        <f aca="false">RANDBETWEEN(0,1)</f>
        <v>0</v>
      </c>
      <c r="D43" s="7" t="str">
        <f aca="false">IF(C43=0, "Homme", "Femme")</f>
        <v>Homme</v>
      </c>
      <c r="E43" s="7" t="n">
        <f aca="false">RANDBETWEEN(1,3)</f>
        <v>1</v>
      </c>
      <c r="F43" s="7" t="str">
        <f aca="false">IF(E43=1, "Favorable", IF(E43=2, "Défavorable", "Ne se prononce pas"))</f>
        <v>Favorable</v>
      </c>
    </row>
    <row r="44" customFormat="false" ht="15" hidden="false" customHeight="false" outlineLevel="0" collapsed="false">
      <c r="A44" s="7" t="n">
        <f aca="false">A43+1</f>
        <v>43</v>
      </c>
      <c r="B44" s="7" t="n">
        <f aca="false">RANDBETWEEN(30,50)</f>
        <v>37</v>
      </c>
      <c r="C44" s="7" t="n">
        <f aca="false">RANDBETWEEN(0,1)</f>
        <v>0</v>
      </c>
      <c r="D44" s="7" t="str">
        <f aca="false">IF(C44=0, "Homme", "Femme")</f>
        <v>Homme</v>
      </c>
      <c r="E44" s="7" t="n">
        <f aca="false">RANDBETWEEN(1,3)</f>
        <v>3</v>
      </c>
      <c r="F44" s="7" t="str">
        <f aca="false">IF(E44=1, "Favorable", IF(E44=2, "Défavorable", "Ne se prononce pas"))</f>
        <v>Ne se prononce pas</v>
      </c>
    </row>
    <row r="45" customFormat="false" ht="15" hidden="false" customHeight="false" outlineLevel="0" collapsed="false">
      <c r="A45" s="7" t="n">
        <f aca="false">A44+1</f>
        <v>44</v>
      </c>
      <c r="B45" s="7" t="n">
        <f aca="false">RANDBETWEEN(30,50)</f>
        <v>42</v>
      </c>
      <c r="C45" s="7" t="n">
        <f aca="false">RANDBETWEEN(0,1)</f>
        <v>1</v>
      </c>
      <c r="D45" s="7" t="str">
        <f aca="false">IF(C45=0, "Homme", "Femme")</f>
        <v>Femme</v>
      </c>
      <c r="E45" s="7" t="n">
        <f aca="false">RANDBETWEEN(1,3)</f>
        <v>3</v>
      </c>
      <c r="F45" s="7" t="str">
        <f aca="false">IF(E45=1, "Favorable", IF(E45=2, "Défavorable", "Ne se prononce pas"))</f>
        <v>Ne se prononce pas</v>
      </c>
    </row>
    <row r="46" customFormat="false" ht="15" hidden="false" customHeight="false" outlineLevel="0" collapsed="false">
      <c r="A46" s="7" t="n">
        <f aca="false">A45+1</f>
        <v>45</v>
      </c>
      <c r="B46" s="7" t="n">
        <f aca="false">RANDBETWEEN(30,50)</f>
        <v>37</v>
      </c>
      <c r="C46" s="7" t="n">
        <f aca="false">RANDBETWEEN(0,1)</f>
        <v>0</v>
      </c>
      <c r="D46" s="7" t="str">
        <f aca="false">IF(C46=0, "Homme", "Femme")</f>
        <v>Homme</v>
      </c>
      <c r="E46" s="7" t="n">
        <f aca="false">RANDBETWEEN(1,3)</f>
        <v>3</v>
      </c>
      <c r="F46" s="7" t="str">
        <f aca="false">IF(E46=1, "Favorable", IF(E46=2, "Défavorable", "Ne se prononce pas"))</f>
        <v>Ne se prononce pas</v>
      </c>
    </row>
    <row r="47" customFormat="false" ht="15" hidden="false" customHeight="false" outlineLevel="0" collapsed="false">
      <c r="A47" s="7" t="n">
        <f aca="false">A46+1</f>
        <v>46</v>
      </c>
      <c r="B47" s="7" t="n">
        <f aca="false">RANDBETWEEN(30,50)</f>
        <v>39</v>
      </c>
      <c r="C47" s="7" t="n">
        <f aca="false">RANDBETWEEN(0,1)</f>
        <v>0</v>
      </c>
      <c r="D47" s="7" t="str">
        <f aca="false">IF(C47=0, "Homme", "Femme")</f>
        <v>Homme</v>
      </c>
      <c r="E47" s="7" t="n">
        <f aca="false">RANDBETWEEN(1,3)</f>
        <v>2</v>
      </c>
      <c r="F47" s="7" t="str">
        <f aca="false">IF(E47=1, "Favorable", IF(E47=2, "Défavorable", "Ne se prononce pas"))</f>
        <v>Défavorable</v>
      </c>
    </row>
    <row r="48" customFormat="false" ht="15" hidden="false" customHeight="false" outlineLevel="0" collapsed="false">
      <c r="A48" s="7" t="n">
        <f aca="false">A47+1</f>
        <v>47</v>
      </c>
      <c r="B48" s="7" t="n">
        <f aca="false">RANDBETWEEN(30,50)</f>
        <v>30</v>
      </c>
      <c r="C48" s="7" t="n">
        <f aca="false">RANDBETWEEN(0,1)</f>
        <v>1</v>
      </c>
      <c r="D48" s="7" t="str">
        <f aca="false">IF(C48=0, "Homme", "Femme")</f>
        <v>Femme</v>
      </c>
      <c r="E48" s="7" t="n">
        <f aca="false">RANDBETWEEN(1,3)</f>
        <v>1</v>
      </c>
      <c r="F48" s="7" t="str">
        <f aca="false">IF(E48=1, "Favorable", IF(E48=2, "Défavorable", "Ne se prononce pas"))</f>
        <v>Favorable</v>
      </c>
    </row>
    <row r="49" customFormat="false" ht="15" hidden="false" customHeight="false" outlineLevel="0" collapsed="false">
      <c r="A49" s="7" t="n">
        <f aca="false">A48+1</f>
        <v>48</v>
      </c>
      <c r="B49" s="7" t="n">
        <f aca="false">RANDBETWEEN(30,50)</f>
        <v>33</v>
      </c>
      <c r="C49" s="7" t="n">
        <f aca="false">RANDBETWEEN(0,1)</f>
        <v>1</v>
      </c>
      <c r="D49" s="7" t="str">
        <f aca="false">IF(C49=0, "Homme", "Femme")</f>
        <v>Femme</v>
      </c>
      <c r="E49" s="7" t="n">
        <f aca="false">RANDBETWEEN(1,3)</f>
        <v>3</v>
      </c>
      <c r="F49" s="7" t="str">
        <f aca="false">IF(E49=1, "Favorable", IF(E49=2, "Défavorable", "Ne se prononce pas"))</f>
        <v>Ne se prononce pas</v>
      </c>
    </row>
    <row r="50" customFormat="false" ht="15" hidden="false" customHeight="false" outlineLevel="0" collapsed="false">
      <c r="A50" s="7" t="n">
        <f aca="false">A49+1</f>
        <v>49</v>
      </c>
      <c r="B50" s="7" t="n">
        <f aca="false">RANDBETWEEN(30,50)</f>
        <v>45</v>
      </c>
      <c r="C50" s="7" t="n">
        <f aca="false">RANDBETWEEN(0,1)</f>
        <v>1</v>
      </c>
      <c r="D50" s="7" t="str">
        <f aca="false">IF(C50=0, "Homme", "Femme")</f>
        <v>Femme</v>
      </c>
      <c r="E50" s="7" t="n">
        <f aca="false">RANDBETWEEN(1,3)</f>
        <v>1</v>
      </c>
      <c r="F50" s="7" t="str">
        <f aca="false">IF(E50=1, "Favorable", IF(E50=2, "Défavorable", "Ne se prononce pas"))</f>
        <v>Favorable</v>
      </c>
    </row>
    <row r="51" customFormat="false" ht="15" hidden="false" customHeight="false" outlineLevel="0" collapsed="false">
      <c r="A51" s="7" t="n">
        <f aca="false">A50+1</f>
        <v>50</v>
      </c>
      <c r="B51" s="7" t="n">
        <f aca="false">RANDBETWEEN(30,50)</f>
        <v>48</v>
      </c>
      <c r="C51" s="7" t="n">
        <f aca="false">RANDBETWEEN(0,1)</f>
        <v>1</v>
      </c>
      <c r="D51" s="7" t="str">
        <f aca="false">IF(C51=0, "Homme", "Femme")</f>
        <v>Femme</v>
      </c>
      <c r="E51" s="7" t="n">
        <f aca="false">RANDBETWEEN(1,3)</f>
        <v>3</v>
      </c>
      <c r="F51" s="7" t="str">
        <f aca="false">IF(E51=1, "Favorable", IF(E51=2, "Défavorable", "Ne se prononce pas"))</f>
        <v>Ne se prononce pas</v>
      </c>
    </row>
    <row r="52" customFormat="false" ht="15" hidden="false" customHeight="false" outlineLevel="0" collapsed="false">
      <c r="A52" s="7" t="n">
        <f aca="false">A51+1</f>
        <v>51</v>
      </c>
      <c r="B52" s="7" t="n">
        <f aca="false">RANDBETWEEN(30,50)</f>
        <v>47</v>
      </c>
      <c r="C52" s="7" t="n">
        <f aca="false">RANDBETWEEN(0,1)</f>
        <v>1</v>
      </c>
      <c r="D52" s="7" t="str">
        <f aca="false">IF(C52=0, "Homme", "Femme")</f>
        <v>Femme</v>
      </c>
      <c r="E52" s="7" t="n">
        <f aca="false">RANDBETWEEN(1,3)</f>
        <v>3</v>
      </c>
      <c r="F52" s="7" t="str">
        <f aca="false">IF(E52=1, "Favorable", IF(E52=2, "Défavorable", "Ne se prononce pas"))</f>
        <v>Ne se prononce pas</v>
      </c>
    </row>
    <row r="53" customFormat="false" ht="15" hidden="false" customHeight="false" outlineLevel="0" collapsed="false">
      <c r="A53" s="7" t="n">
        <f aca="false">A52+1</f>
        <v>52</v>
      </c>
      <c r="B53" s="7" t="n">
        <f aca="false">RANDBETWEEN(30,50)</f>
        <v>31</v>
      </c>
      <c r="C53" s="7" t="n">
        <f aca="false">RANDBETWEEN(0,1)</f>
        <v>0</v>
      </c>
      <c r="D53" s="7" t="str">
        <f aca="false">IF(C53=0, "Homme", "Femme")</f>
        <v>Homme</v>
      </c>
      <c r="E53" s="7" t="n">
        <f aca="false">RANDBETWEEN(1,3)</f>
        <v>2</v>
      </c>
      <c r="F53" s="7" t="str">
        <f aca="false">IF(E53=1, "Favorable", IF(E53=2, "Défavorable", "Ne se prononce pas"))</f>
        <v>Défavorable</v>
      </c>
    </row>
    <row r="54" customFormat="false" ht="15" hidden="false" customHeight="false" outlineLevel="0" collapsed="false">
      <c r="A54" s="7" t="n">
        <f aca="false">A53+1</f>
        <v>53</v>
      </c>
      <c r="B54" s="7" t="n">
        <f aca="false">RANDBETWEEN(30,50)</f>
        <v>50</v>
      </c>
      <c r="C54" s="7" t="n">
        <f aca="false">RANDBETWEEN(0,1)</f>
        <v>0</v>
      </c>
      <c r="D54" s="7" t="str">
        <f aca="false">IF(C54=0, "Homme", "Femme")</f>
        <v>Homme</v>
      </c>
      <c r="E54" s="7" t="n">
        <f aca="false">RANDBETWEEN(1,3)</f>
        <v>1</v>
      </c>
      <c r="F54" s="7" t="str">
        <f aca="false">IF(E54=1, "Favorable", IF(E54=2, "Défavorable", "Ne se prononce pas"))</f>
        <v>Favorable</v>
      </c>
    </row>
    <row r="55" customFormat="false" ht="15" hidden="false" customHeight="false" outlineLevel="0" collapsed="false">
      <c r="A55" s="7" t="n">
        <f aca="false">A54+1</f>
        <v>54</v>
      </c>
      <c r="B55" s="7" t="n">
        <f aca="false">RANDBETWEEN(30,50)</f>
        <v>43</v>
      </c>
      <c r="C55" s="7" t="n">
        <f aca="false">RANDBETWEEN(0,1)</f>
        <v>1</v>
      </c>
      <c r="D55" s="7" t="str">
        <f aca="false">IF(C55=0, "Homme", "Femme")</f>
        <v>Femme</v>
      </c>
      <c r="E55" s="7" t="n">
        <f aca="false">RANDBETWEEN(1,3)</f>
        <v>1</v>
      </c>
      <c r="F55" s="7" t="str">
        <f aca="false">IF(E55=1, "Favorable", IF(E55=2, "Défavorable", "Ne se prononce pas"))</f>
        <v>Favorable</v>
      </c>
    </row>
    <row r="56" customFormat="false" ht="15" hidden="false" customHeight="false" outlineLevel="0" collapsed="false">
      <c r="A56" s="7" t="n">
        <f aca="false">A55+1</f>
        <v>55</v>
      </c>
      <c r="B56" s="7" t="n">
        <f aca="false">RANDBETWEEN(30,50)</f>
        <v>31</v>
      </c>
      <c r="C56" s="7" t="n">
        <f aca="false">RANDBETWEEN(0,1)</f>
        <v>1</v>
      </c>
      <c r="D56" s="7" t="str">
        <f aca="false">IF(C56=0, "Homme", "Femme")</f>
        <v>Femme</v>
      </c>
      <c r="E56" s="7" t="n">
        <f aca="false">RANDBETWEEN(1,3)</f>
        <v>1</v>
      </c>
      <c r="F56" s="7" t="str">
        <f aca="false">IF(E56=1, "Favorable", IF(E56=2, "Défavorable", "Ne se prononce pas"))</f>
        <v>Favorable</v>
      </c>
    </row>
    <row r="57" customFormat="false" ht="15" hidden="false" customHeight="false" outlineLevel="0" collapsed="false">
      <c r="A57" s="7" t="n">
        <f aca="false">A56+1</f>
        <v>56</v>
      </c>
      <c r="B57" s="7" t="n">
        <f aca="false">RANDBETWEEN(30,50)</f>
        <v>49</v>
      </c>
      <c r="C57" s="7" t="n">
        <f aca="false">RANDBETWEEN(0,1)</f>
        <v>0</v>
      </c>
      <c r="D57" s="7" t="str">
        <f aca="false">IF(C57=0, "Homme", "Femme")</f>
        <v>Homme</v>
      </c>
      <c r="E57" s="7" t="n">
        <f aca="false">RANDBETWEEN(1,3)</f>
        <v>3</v>
      </c>
      <c r="F57" s="7" t="str">
        <f aca="false">IF(E57=1, "Favorable", IF(E57=2, "Défavorable", "Ne se prononce pas"))</f>
        <v>Ne se prononce pas</v>
      </c>
    </row>
    <row r="58" customFormat="false" ht="15" hidden="false" customHeight="false" outlineLevel="0" collapsed="false">
      <c r="A58" s="7" t="n">
        <f aca="false">A57+1</f>
        <v>57</v>
      </c>
      <c r="B58" s="7" t="n">
        <f aca="false">RANDBETWEEN(30,50)</f>
        <v>43</v>
      </c>
      <c r="C58" s="7" t="n">
        <f aca="false">RANDBETWEEN(0,1)</f>
        <v>0</v>
      </c>
      <c r="D58" s="7" t="str">
        <f aca="false">IF(C58=0, "Homme", "Femme")</f>
        <v>Homme</v>
      </c>
      <c r="E58" s="7" t="n">
        <f aca="false">RANDBETWEEN(1,3)</f>
        <v>2</v>
      </c>
      <c r="F58" s="7" t="str">
        <f aca="false">IF(E58=1, "Favorable", IF(E58=2, "Défavorable", "Ne se prononce pas"))</f>
        <v>Défavorable</v>
      </c>
    </row>
    <row r="59" customFormat="false" ht="15" hidden="false" customHeight="false" outlineLevel="0" collapsed="false">
      <c r="A59" s="7" t="n">
        <f aca="false">A58+1</f>
        <v>58</v>
      </c>
      <c r="B59" s="7" t="n">
        <f aca="false">RANDBETWEEN(30,50)</f>
        <v>39</v>
      </c>
      <c r="C59" s="7" t="n">
        <f aca="false">RANDBETWEEN(0,1)</f>
        <v>1</v>
      </c>
      <c r="D59" s="7" t="str">
        <f aca="false">IF(C59=0, "Homme", "Femme")</f>
        <v>Femme</v>
      </c>
      <c r="E59" s="7" t="n">
        <f aca="false">RANDBETWEEN(1,3)</f>
        <v>2</v>
      </c>
      <c r="F59" s="7" t="str">
        <f aca="false">IF(E59=1, "Favorable", IF(E59=2, "Défavorable", "Ne se prononce pas"))</f>
        <v>Défavorable</v>
      </c>
    </row>
    <row r="60" customFormat="false" ht="15" hidden="false" customHeight="false" outlineLevel="0" collapsed="false">
      <c r="A60" s="7" t="n">
        <f aca="false">A59+1</f>
        <v>59</v>
      </c>
      <c r="B60" s="7" t="n">
        <f aca="false">RANDBETWEEN(30,50)</f>
        <v>50</v>
      </c>
      <c r="C60" s="7" t="n">
        <f aca="false">RANDBETWEEN(0,1)</f>
        <v>0</v>
      </c>
      <c r="D60" s="7" t="str">
        <f aca="false">IF(C60=0, "Homme", "Femme")</f>
        <v>Homme</v>
      </c>
      <c r="E60" s="7" t="n">
        <f aca="false">RANDBETWEEN(1,3)</f>
        <v>2</v>
      </c>
      <c r="F60" s="7" t="str">
        <f aca="false">IF(E60=1, "Favorable", IF(E60=2, "Défavorable", "Ne se prononce pas"))</f>
        <v>Défavorable</v>
      </c>
    </row>
    <row r="61" customFormat="false" ht="15" hidden="false" customHeight="false" outlineLevel="0" collapsed="false">
      <c r="A61" s="7" t="n">
        <f aca="false">A60+1</f>
        <v>60</v>
      </c>
      <c r="B61" s="7" t="n">
        <f aca="false">RANDBETWEEN(30,50)</f>
        <v>41</v>
      </c>
      <c r="C61" s="7" t="n">
        <f aca="false">RANDBETWEEN(0,1)</f>
        <v>1</v>
      </c>
      <c r="D61" s="7" t="str">
        <f aca="false">IF(C61=0, "Homme", "Femme")</f>
        <v>Femme</v>
      </c>
      <c r="E61" s="7" t="n">
        <f aca="false">RANDBETWEEN(1,3)</f>
        <v>1</v>
      </c>
      <c r="F61" s="7" t="str">
        <f aca="false">IF(E61=1, "Favorable", IF(E61=2, "Défavorable", "Ne se prononce pas"))</f>
        <v>Favorable</v>
      </c>
    </row>
    <row r="62" customFormat="false" ht="15" hidden="false" customHeight="false" outlineLevel="0" collapsed="false">
      <c r="A62" s="7" t="n">
        <f aca="false">A61+1</f>
        <v>61</v>
      </c>
      <c r="B62" s="7" t="n">
        <f aca="false">RANDBETWEEN(30,50)</f>
        <v>33</v>
      </c>
      <c r="C62" s="7" t="n">
        <f aca="false">RANDBETWEEN(0,1)</f>
        <v>0</v>
      </c>
      <c r="D62" s="7" t="str">
        <f aca="false">IF(C62=0, "Homme", "Femme")</f>
        <v>Homme</v>
      </c>
      <c r="E62" s="7" t="n">
        <f aca="false">RANDBETWEEN(1,3)</f>
        <v>1</v>
      </c>
      <c r="F62" s="7" t="str">
        <f aca="false">IF(E62=1, "Favorable", IF(E62=2, "Défavorable", "Ne se prononce pas"))</f>
        <v>Favorable</v>
      </c>
    </row>
    <row r="63" customFormat="false" ht="15" hidden="false" customHeight="false" outlineLevel="0" collapsed="false">
      <c r="A63" s="7" t="n">
        <f aca="false">A62+1</f>
        <v>62</v>
      </c>
      <c r="B63" s="7" t="n">
        <f aca="false">RANDBETWEEN(30,50)</f>
        <v>42</v>
      </c>
      <c r="C63" s="7" t="n">
        <f aca="false">RANDBETWEEN(0,1)</f>
        <v>1</v>
      </c>
      <c r="D63" s="7" t="str">
        <f aca="false">IF(C63=0, "Homme", "Femme")</f>
        <v>Femme</v>
      </c>
      <c r="E63" s="7" t="n">
        <f aca="false">RANDBETWEEN(1,3)</f>
        <v>2</v>
      </c>
      <c r="F63" s="7" t="str">
        <f aca="false">IF(E63=1, "Favorable", IF(E63=2, "Défavorable", "Ne se prononce pas"))</f>
        <v>Défavorable</v>
      </c>
    </row>
    <row r="64" customFormat="false" ht="15" hidden="false" customHeight="false" outlineLevel="0" collapsed="false">
      <c r="A64" s="7" t="n">
        <f aca="false">A63+1</f>
        <v>63</v>
      </c>
      <c r="B64" s="7" t="n">
        <f aca="false">RANDBETWEEN(30,50)</f>
        <v>40</v>
      </c>
      <c r="C64" s="7" t="n">
        <f aca="false">RANDBETWEEN(0,1)</f>
        <v>1</v>
      </c>
      <c r="D64" s="7" t="str">
        <f aca="false">IF(C64=0, "Homme", "Femme")</f>
        <v>Femme</v>
      </c>
      <c r="E64" s="7" t="n">
        <f aca="false">RANDBETWEEN(1,3)</f>
        <v>2</v>
      </c>
      <c r="F64" s="7" t="str">
        <f aca="false">IF(E64=1, "Favorable", IF(E64=2, "Défavorable", "Ne se prononce pas"))</f>
        <v>Défavorable</v>
      </c>
    </row>
    <row r="65" customFormat="false" ht="15" hidden="false" customHeight="false" outlineLevel="0" collapsed="false">
      <c r="A65" s="7" t="n">
        <f aca="false">A64+1</f>
        <v>64</v>
      </c>
      <c r="B65" s="7" t="n">
        <f aca="false">RANDBETWEEN(30,50)</f>
        <v>37</v>
      </c>
      <c r="C65" s="7" t="n">
        <f aca="false">RANDBETWEEN(0,1)</f>
        <v>0</v>
      </c>
      <c r="D65" s="7" t="str">
        <f aca="false">IF(C65=0, "Homme", "Femme")</f>
        <v>Homme</v>
      </c>
      <c r="E65" s="7" t="n">
        <f aca="false">RANDBETWEEN(1,3)</f>
        <v>1</v>
      </c>
      <c r="F65" s="7" t="str">
        <f aca="false">IF(E65=1, "Favorable", IF(E65=2, "Défavorable", "Ne se prononce pas"))</f>
        <v>Favorable</v>
      </c>
    </row>
    <row r="66" customFormat="false" ht="15" hidden="false" customHeight="false" outlineLevel="0" collapsed="false">
      <c r="A66" s="7" t="n">
        <f aca="false">A65+1</f>
        <v>65</v>
      </c>
      <c r="B66" s="7" t="n">
        <f aca="false">RANDBETWEEN(30,50)</f>
        <v>35</v>
      </c>
      <c r="C66" s="7" t="n">
        <f aca="false">RANDBETWEEN(0,1)</f>
        <v>0</v>
      </c>
      <c r="D66" s="7" t="str">
        <f aca="false">IF(C66=0, "Homme", "Femme")</f>
        <v>Homme</v>
      </c>
      <c r="E66" s="7" t="n">
        <f aca="false">RANDBETWEEN(1,3)</f>
        <v>1</v>
      </c>
      <c r="F66" s="7" t="str">
        <f aca="false">IF(E66=1, "Favorable", IF(E66=2, "Défavorable", "Ne se prononce pas"))</f>
        <v>Favorable</v>
      </c>
    </row>
    <row r="67" customFormat="false" ht="15" hidden="false" customHeight="false" outlineLevel="0" collapsed="false">
      <c r="A67" s="7" t="n">
        <f aca="false">A66+1</f>
        <v>66</v>
      </c>
      <c r="B67" s="7" t="n">
        <f aca="false">RANDBETWEEN(30,50)</f>
        <v>47</v>
      </c>
      <c r="C67" s="7" t="n">
        <f aca="false">RANDBETWEEN(0,1)</f>
        <v>1</v>
      </c>
      <c r="D67" s="7" t="str">
        <f aca="false">IF(C67=0, "Homme", "Femme")</f>
        <v>Femme</v>
      </c>
      <c r="E67" s="7" t="n">
        <f aca="false">RANDBETWEEN(1,3)</f>
        <v>2</v>
      </c>
      <c r="F67" s="7" t="str">
        <f aca="false">IF(E67=1, "Favorable", IF(E67=2, "Défavorable", "Ne se prononce pas"))</f>
        <v>Défavorable</v>
      </c>
    </row>
    <row r="68" customFormat="false" ht="15" hidden="false" customHeight="false" outlineLevel="0" collapsed="false">
      <c r="A68" s="7" t="n">
        <f aca="false">A67+1</f>
        <v>67</v>
      </c>
      <c r="B68" s="7" t="n">
        <f aca="false">RANDBETWEEN(30,50)</f>
        <v>41</v>
      </c>
      <c r="C68" s="7" t="n">
        <f aca="false">RANDBETWEEN(0,1)</f>
        <v>1</v>
      </c>
      <c r="D68" s="7" t="str">
        <f aca="false">IF(C68=0, "Homme", "Femme")</f>
        <v>Femme</v>
      </c>
      <c r="E68" s="7" t="n">
        <f aca="false">RANDBETWEEN(1,3)</f>
        <v>2</v>
      </c>
      <c r="F68" s="7" t="str">
        <f aca="false">IF(E68=1, "Favorable", IF(E68=2, "Défavorable", "Ne se prononce pas"))</f>
        <v>Défavorable</v>
      </c>
    </row>
    <row r="69" customFormat="false" ht="15" hidden="false" customHeight="false" outlineLevel="0" collapsed="false">
      <c r="A69" s="7" t="n">
        <f aca="false">A68+1</f>
        <v>68</v>
      </c>
      <c r="B69" s="7" t="n">
        <f aca="false">RANDBETWEEN(30,50)</f>
        <v>44</v>
      </c>
      <c r="C69" s="7" t="n">
        <f aca="false">RANDBETWEEN(0,1)</f>
        <v>0</v>
      </c>
      <c r="D69" s="7" t="str">
        <f aca="false">IF(C69=0, "Homme", "Femme")</f>
        <v>Homme</v>
      </c>
      <c r="E69" s="7" t="n">
        <f aca="false">RANDBETWEEN(1,3)</f>
        <v>2</v>
      </c>
      <c r="F69" s="7" t="str">
        <f aca="false">IF(E69=1, "Favorable", IF(E69=2, "Défavorable", "Ne se prononce pas"))</f>
        <v>Défavorable</v>
      </c>
    </row>
    <row r="70" customFormat="false" ht="15" hidden="false" customHeight="false" outlineLevel="0" collapsed="false">
      <c r="A70" s="7" t="n">
        <f aca="false">A69+1</f>
        <v>69</v>
      </c>
      <c r="B70" s="7" t="n">
        <f aca="false">RANDBETWEEN(30,50)</f>
        <v>32</v>
      </c>
      <c r="C70" s="7" t="n">
        <f aca="false">RANDBETWEEN(0,1)</f>
        <v>0</v>
      </c>
      <c r="D70" s="7" t="str">
        <f aca="false">IF(C70=0, "Homme", "Femme")</f>
        <v>Homme</v>
      </c>
      <c r="E70" s="7" t="n">
        <f aca="false">RANDBETWEEN(1,3)</f>
        <v>3</v>
      </c>
      <c r="F70" s="7" t="str">
        <f aca="false">IF(E70=1, "Favorable", IF(E70=2, "Défavorable", "Ne se prononce pas"))</f>
        <v>Ne se prononce pas</v>
      </c>
    </row>
    <row r="71" customFormat="false" ht="15" hidden="false" customHeight="false" outlineLevel="0" collapsed="false">
      <c r="A71" s="7" t="n">
        <f aca="false">A70+1</f>
        <v>70</v>
      </c>
      <c r="B71" s="7" t="n">
        <f aca="false">RANDBETWEEN(30,50)</f>
        <v>49</v>
      </c>
      <c r="C71" s="7" t="n">
        <f aca="false">RANDBETWEEN(0,1)</f>
        <v>0</v>
      </c>
      <c r="D71" s="7" t="str">
        <f aca="false">IF(C71=0, "Homme", "Femme")</f>
        <v>Homme</v>
      </c>
      <c r="E71" s="7" t="n">
        <f aca="false">RANDBETWEEN(1,3)</f>
        <v>1</v>
      </c>
      <c r="F71" s="7" t="str">
        <f aca="false">IF(E71=1, "Favorable", IF(E71=2, "Défavorable", "Ne se prononce pas"))</f>
        <v>Favorable</v>
      </c>
    </row>
    <row r="72" customFormat="false" ht="15" hidden="false" customHeight="false" outlineLevel="0" collapsed="false">
      <c r="A72" s="7" t="n">
        <f aca="false">A71+1</f>
        <v>71</v>
      </c>
      <c r="B72" s="7" t="n">
        <f aca="false">RANDBETWEEN(30,50)</f>
        <v>46</v>
      </c>
      <c r="C72" s="7" t="n">
        <f aca="false">RANDBETWEEN(0,1)</f>
        <v>0</v>
      </c>
      <c r="D72" s="7" t="str">
        <f aca="false">IF(C72=0, "Homme", "Femme")</f>
        <v>Homme</v>
      </c>
      <c r="E72" s="7" t="n">
        <f aca="false">RANDBETWEEN(1,3)</f>
        <v>1</v>
      </c>
      <c r="F72" s="7" t="str">
        <f aca="false">IF(E72=1, "Favorable", IF(E72=2, "Défavorable", "Ne se prononce pas"))</f>
        <v>Favorable</v>
      </c>
    </row>
    <row r="73" customFormat="false" ht="15" hidden="false" customHeight="false" outlineLevel="0" collapsed="false">
      <c r="A73" s="7" t="n">
        <f aca="false">A72+1</f>
        <v>72</v>
      </c>
      <c r="B73" s="7" t="n">
        <f aca="false">RANDBETWEEN(30,50)</f>
        <v>39</v>
      </c>
      <c r="C73" s="7" t="n">
        <f aca="false">RANDBETWEEN(0,1)</f>
        <v>1</v>
      </c>
      <c r="D73" s="7" t="str">
        <f aca="false">IF(C73=0, "Homme", "Femme")</f>
        <v>Femme</v>
      </c>
      <c r="E73" s="7" t="n">
        <f aca="false">RANDBETWEEN(1,3)</f>
        <v>1</v>
      </c>
      <c r="F73" s="7" t="str">
        <f aca="false">IF(E73=1, "Favorable", IF(E73=2, "Défavorable", "Ne se prononce pas"))</f>
        <v>Favorable</v>
      </c>
    </row>
    <row r="74" customFormat="false" ht="15" hidden="false" customHeight="false" outlineLevel="0" collapsed="false">
      <c r="A74" s="7" t="n">
        <f aca="false">A73+1</f>
        <v>73</v>
      </c>
      <c r="B74" s="7" t="n">
        <f aca="false">RANDBETWEEN(30,50)</f>
        <v>45</v>
      </c>
      <c r="C74" s="7" t="n">
        <f aca="false">RANDBETWEEN(0,1)</f>
        <v>0</v>
      </c>
      <c r="D74" s="7" t="str">
        <f aca="false">IF(C74=0, "Homme", "Femme")</f>
        <v>Homme</v>
      </c>
      <c r="E74" s="7" t="n">
        <f aca="false">RANDBETWEEN(1,3)</f>
        <v>2</v>
      </c>
      <c r="F74" s="7" t="str">
        <f aca="false">IF(E74=1, "Favorable", IF(E74=2, "Défavorable", "Ne se prononce pas"))</f>
        <v>Défavorable</v>
      </c>
    </row>
    <row r="75" customFormat="false" ht="15" hidden="false" customHeight="false" outlineLevel="0" collapsed="false">
      <c r="A75" s="7" t="n">
        <f aca="false">A74+1</f>
        <v>74</v>
      </c>
      <c r="B75" s="7" t="n">
        <f aca="false">RANDBETWEEN(30,50)</f>
        <v>50</v>
      </c>
      <c r="C75" s="7" t="n">
        <f aca="false">RANDBETWEEN(0,1)</f>
        <v>0</v>
      </c>
      <c r="D75" s="7" t="str">
        <f aca="false">IF(C75=0, "Homme", "Femme")</f>
        <v>Homme</v>
      </c>
      <c r="E75" s="7" t="n">
        <f aca="false">RANDBETWEEN(1,3)</f>
        <v>3</v>
      </c>
      <c r="F75" s="7" t="str">
        <f aca="false">IF(E75=1, "Favorable", IF(E75=2, "Défavorable", "Ne se prononce pas"))</f>
        <v>Ne se prononce pas</v>
      </c>
    </row>
    <row r="76" customFormat="false" ht="15" hidden="false" customHeight="false" outlineLevel="0" collapsed="false">
      <c r="A76" s="7" t="n">
        <f aca="false">A75+1</f>
        <v>75</v>
      </c>
      <c r="B76" s="7" t="n">
        <f aca="false">RANDBETWEEN(30,50)</f>
        <v>37</v>
      </c>
      <c r="C76" s="7" t="n">
        <f aca="false">RANDBETWEEN(0,1)</f>
        <v>0</v>
      </c>
      <c r="D76" s="7" t="str">
        <f aca="false">IF(C76=0, "Homme", "Femme")</f>
        <v>Homme</v>
      </c>
      <c r="E76" s="7" t="n">
        <f aca="false">RANDBETWEEN(1,3)</f>
        <v>1</v>
      </c>
      <c r="F76" s="7" t="str">
        <f aca="false">IF(E76=1, "Favorable", IF(E76=2, "Défavorable", "Ne se prononce pas"))</f>
        <v>Favorable</v>
      </c>
    </row>
    <row r="77" customFormat="false" ht="15" hidden="false" customHeight="false" outlineLevel="0" collapsed="false">
      <c r="A77" s="7" t="n">
        <f aca="false">A76+1</f>
        <v>76</v>
      </c>
      <c r="B77" s="7" t="n">
        <f aca="false">RANDBETWEEN(30,50)</f>
        <v>36</v>
      </c>
      <c r="C77" s="7" t="n">
        <f aca="false">RANDBETWEEN(0,1)</f>
        <v>1</v>
      </c>
      <c r="D77" s="7" t="str">
        <f aca="false">IF(C77=0, "Homme", "Femme")</f>
        <v>Femme</v>
      </c>
      <c r="E77" s="7" t="n">
        <f aca="false">RANDBETWEEN(1,3)</f>
        <v>2</v>
      </c>
      <c r="F77" s="7" t="str">
        <f aca="false">IF(E77=1, "Favorable", IF(E77=2, "Défavorable", "Ne se prononce pas"))</f>
        <v>Défavorable</v>
      </c>
    </row>
    <row r="78" customFormat="false" ht="15" hidden="false" customHeight="false" outlineLevel="0" collapsed="false">
      <c r="A78" s="7" t="n">
        <f aca="false">A77+1</f>
        <v>77</v>
      </c>
      <c r="B78" s="7" t="n">
        <f aca="false">RANDBETWEEN(30,50)</f>
        <v>49</v>
      </c>
      <c r="C78" s="7" t="n">
        <f aca="false">RANDBETWEEN(0,1)</f>
        <v>1</v>
      </c>
      <c r="D78" s="7" t="str">
        <f aca="false">IF(C78=0, "Homme", "Femme")</f>
        <v>Femme</v>
      </c>
      <c r="E78" s="7" t="n">
        <f aca="false">RANDBETWEEN(1,3)</f>
        <v>3</v>
      </c>
      <c r="F78" s="7" t="str">
        <f aca="false">IF(E78=1, "Favorable", IF(E78=2, "Défavorable", "Ne se prononce pas"))</f>
        <v>Ne se prononce pas</v>
      </c>
    </row>
    <row r="79" customFormat="false" ht="15" hidden="false" customHeight="false" outlineLevel="0" collapsed="false">
      <c r="A79" s="7" t="n">
        <f aca="false">A78+1</f>
        <v>78</v>
      </c>
      <c r="B79" s="7" t="n">
        <f aca="false">RANDBETWEEN(30,50)</f>
        <v>43</v>
      </c>
      <c r="C79" s="7" t="n">
        <f aca="false">RANDBETWEEN(0,1)</f>
        <v>1</v>
      </c>
      <c r="D79" s="7" t="str">
        <f aca="false">IF(C79=0, "Homme", "Femme")</f>
        <v>Femme</v>
      </c>
      <c r="E79" s="7" t="n">
        <f aca="false">RANDBETWEEN(1,3)</f>
        <v>1</v>
      </c>
      <c r="F79" s="7" t="str">
        <f aca="false">IF(E79=1, "Favorable", IF(E79=2, "Défavorable", "Ne se prononce pas"))</f>
        <v>Favorable</v>
      </c>
    </row>
    <row r="80" customFormat="false" ht="15" hidden="false" customHeight="false" outlineLevel="0" collapsed="false">
      <c r="A80" s="7" t="n">
        <f aca="false">A79+1</f>
        <v>79</v>
      </c>
      <c r="B80" s="7" t="n">
        <f aca="false">RANDBETWEEN(30,50)</f>
        <v>41</v>
      </c>
      <c r="C80" s="7" t="n">
        <f aca="false">RANDBETWEEN(0,1)</f>
        <v>1</v>
      </c>
      <c r="D80" s="7" t="str">
        <f aca="false">IF(C80=0, "Homme", "Femme")</f>
        <v>Femme</v>
      </c>
      <c r="E80" s="7" t="n">
        <f aca="false">RANDBETWEEN(1,3)</f>
        <v>2</v>
      </c>
      <c r="F80" s="7" t="str">
        <f aca="false">IF(E80=1, "Favorable", IF(E80=2, "Défavorable", "Ne se prononce pas"))</f>
        <v>Défavorable</v>
      </c>
    </row>
    <row r="81" customFormat="false" ht="15" hidden="false" customHeight="false" outlineLevel="0" collapsed="false">
      <c r="A81" s="7" t="n">
        <f aca="false">A80+1</f>
        <v>80</v>
      </c>
      <c r="B81" s="7" t="n">
        <f aca="false">RANDBETWEEN(30,50)</f>
        <v>47</v>
      </c>
      <c r="C81" s="7" t="n">
        <f aca="false">RANDBETWEEN(0,1)</f>
        <v>1</v>
      </c>
      <c r="D81" s="7" t="str">
        <f aca="false">IF(C81=0, "Homme", "Femme")</f>
        <v>Femme</v>
      </c>
      <c r="E81" s="7" t="n">
        <f aca="false">RANDBETWEEN(1,3)</f>
        <v>3</v>
      </c>
      <c r="F81" s="7" t="str">
        <f aca="false">IF(E81=1, "Favorable", IF(E81=2, "Défavorable", "Ne se prononce pas"))</f>
        <v>Ne se prononce pas</v>
      </c>
    </row>
    <row r="82" customFormat="false" ht="15" hidden="false" customHeight="false" outlineLevel="0" collapsed="false">
      <c r="A82" s="7" t="n">
        <f aca="false">A81+1</f>
        <v>81</v>
      </c>
      <c r="B82" s="7" t="n">
        <f aca="false">RANDBETWEEN(30,50)</f>
        <v>34</v>
      </c>
      <c r="C82" s="7" t="n">
        <f aca="false">RANDBETWEEN(0,1)</f>
        <v>1</v>
      </c>
      <c r="D82" s="7" t="str">
        <f aca="false">IF(C82=0, "Homme", "Femme")</f>
        <v>Femme</v>
      </c>
      <c r="E82" s="7" t="n">
        <f aca="false">RANDBETWEEN(1,3)</f>
        <v>3</v>
      </c>
      <c r="F82" s="7" t="str">
        <f aca="false">IF(E82=1, "Favorable", IF(E82=2, "Défavorable", "Ne se prononce pas"))</f>
        <v>Ne se prononce pas</v>
      </c>
    </row>
    <row r="83" customFormat="false" ht="15" hidden="false" customHeight="false" outlineLevel="0" collapsed="false">
      <c r="A83" s="7" t="n">
        <f aca="false">A82+1</f>
        <v>82</v>
      </c>
      <c r="B83" s="7" t="n">
        <f aca="false">RANDBETWEEN(30,50)</f>
        <v>36</v>
      </c>
      <c r="C83" s="7" t="n">
        <f aca="false">RANDBETWEEN(0,1)</f>
        <v>0</v>
      </c>
      <c r="D83" s="7" t="str">
        <f aca="false">IF(C83=0, "Homme", "Femme")</f>
        <v>Homme</v>
      </c>
      <c r="E83" s="7" t="n">
        <f aca="false">RANDBETWEEN(1,3)</f>
        <v>2</v>
      </c>
      <c r="F83" s="7" t="str">
        <f aca="false">IF(E83=1, "Favorable", IF(E83=2, "Défavorable", "Ne se prononce pas"))</f>
        <v>Défavorable</v>
      </c>
    </row>
    <row r="84" customFormat="false" ht="15" hidden="false" customHeight="false" outlineLevel="0" collapsed="false">
      <c r="A84" s="7" t="n">
        <f aca="false">A83+1</f>
        <v>83</v>
      </c>
      <c r="B84" s="7" t="n">
        <f aca="false">RANDBETWEEN(30,50)</f>
        <v>37</v>
      </c>
      <c r="C84" s="7" t="n">
        <f aca="false">RANDBETWEEN(0,1)</f>
        <v>0</v>
      </c>
      <c r="D84" s="7" t="str">
        <f aca="false">IF(C84=0, "Homme", "Femme")</f>
        <v>Homme</v>
      </c>
      <c r="E84" s="7" t="n">
        <f aca="false">RANDBETWEEN(1,3)</f>
        <v>1</v>
      </c>
      <c r="F84" s="7" t="str">
        <f aca="false">IF(E84=1, "Favorable", IF(E84=2, "Défavorable", "Ne se prononce pas"))</f>
        <v>Favorable</v>
      </c>
    </row>
    <row r="85" customFormat="false" ht="15" hidden="false" customHeight="false" outlineLevel="0" collapsed="false">
      <c r="A85" s="7" t="n">
        <f aca="false">A84+1</f>
        <v>84</v>
      </c>
      <c r="B85" s="7" t="n">
        <f aca="false">RANDBETWEEN(30,50)</f>
        <v>31</v>
      </c>
      <c r="C85" s="7" t="n">
        <f aca="false">RANDBETWEEN(0,1)</f>
        <v>0</v>
      </c>
      <c r="D85" s="7" t="str">
        <f aca="false">IF(C85=0, "Homme", "Femme")</f>
        <v>Homme</v>
      </c>
      <c r="E85" s="7" t="n">
        <f aca="false">RANDBETWEEN(1,3)</f>
        <v>3</v>
      </c>
      <c r="F85" s="7" t="str">
        <f aca="false">IF(E85=1, "Favorable", IF(E85=2, "Défavorable", "Ne se prononce pas"))</f>
        <v>Ne se prononce pas</v>
      </c>
    </row>
    <row r="86" customFormat="false" ht="15" hidden="false" customHeight="false" outlineLevel="0" collapsed="false">
      <c r="A86" s="7" t="n">
        <f aca="false">A85+1</f>
        <v>85</v>
      </c>
      <c r="B86" s="7" t="n">
        <f aca="false">RANDBETWEEN(30,50)</f>
        <v>35</v>
      </c>
      <c r="C86" s="7" t="n">
        <f aca="false">RANDBETWEEN(0,1)</f>
        <v>1</v>
      </c>
      <c r="D86" s="7" t="str">
        <f aca="false">IF(C86=0, "Homme", "Femme")</f>
        <v>Femme</v>
      </c>
      <c r="E86" s="7" t="n">
        <f aca="false">RANDBETWEEN(1,3)</f>
        <v>3</v>
      </c>
      <c r="F86" s="7" t="str">
        <f aca="false">IF(E86=1, "Favorable", IF(E86=2, "Défavorable", "Ne se prononce pas"))</f>
        <v>Ne se prononce pas</v>
      </c>
    </row>
    <row r="87" customFormat="false" ht="15" hidden="false" customHeight="false" outlineLevel="0" collapsed="false">
      <c r="A87" s="7" t="n">
        <f aca="false">A86+1</f>
        <v>86</v>
      </c>
      <c r="B87" s="7" t="n">
        <f aca="false">RANDBETWEEN(30,50)</f>
        <v>33</v>
      </c>
      <c r="C87" s="7" t="n">
        <f aca="false">RANDBETWEEN(0,1)</f>
        <v>0</v>
      </c>
      <c r="D87" s="7" t="str">
        <f aca="false">IF(C87=0, "Homme", "Femme")</f>
        <v>Homme</v>
      </c>
      <c r="E87" s="7" t="n">
        <f aca="false">RANDBETWEEN(1,3)</f>
        <v>3</v>
      </c>
      <c r="F87" s="7" t="str">
        <f aca="false">IF(E87=1, "Favorable", IF(E87=2, "Défavorable", "Ne se prononce pas"))</f>
        <v>Ne se prononce pas</v>
      </c>
    </row>
    <row r="88" customFormat="false" ht="15" hidden="false" customHeight="false" outlineLevel="0" collapsed="false">
      <c r="A88" s="7" t="n">
        <f aca="false">A87+1</f>
        <v>87</v>
      </c>
      <c r="B88" s="7" t="n">
        <f aca="false">RANDBETWEEN(30,50)</f>
        <v>41</v>
      </c>
      <c r="C88" s="7" t="n">
        <f aca="false">RANDBETWEEN(0,1)</f>
        <v>1</v>
      </c>
      <c r="D88" s="7" t="str">
        <f aca="false">IF(C88=0, "Homme", "Femme")</f>
        <v>Femme</v>
      </c>
      <c r="E88" s="7" t="n">
        <f aca="false">RANDBETWEEN(1,3)</f>
        <v>2</v>
      </c>
      <c r="F88" s="7" t="str">
        <f aca="false">IF(E88=1, "Favorable", IF(E88=2, "Défavorable", "Ne se prononce pas"))</f>
        <v>Défavorable</v>
      </c>
    </row>
    <row r="89" customFormat="false" ht="15" hidden="false" customHeight="false" outlineLevel="0" collapsed="false">
      <c r="A89" s="7" t="n">
        <f aca="false">A88+1</f>
        <v>88</v>
      </c>
      <c r="B89" s="7" t="n">
        <f aca="false">RANDBETWEEN(30,50)</f>
        <v>32</v>
      </c>
      <c r="C89" s="7" t="n">
        <f aca="false">RANDBETWEEN(0,1)</f>
        <v>1</v>
      </c>
      <c r="D89" s="7" t="str">
        <f aca="false">IF(C89=0, "Homme", "Femme")</f>
        <v>Femme</v>
      </c>
      <c r="E89" s="7" t="n">
        <f aca="false">RANDBETWEEN(1,3)</f>
        <v>1</v>
      </c>
      <c r="F89" s="7" t="str">
        <f aca="false">IF(E89=1, "Favorable", IF(E89=2, "Défavorable", "Ne se prononce pas"))</f>
        <v>Favorable</v>
      </c>
    </row>
    <row r="90" customFormat="false" ht="15" hidden="false" customHeight="false" outlineLevel="0" collapsed="false">
      <c r="A90" s="7" t="n">
        <f aca="false">A89+1</f>
        <v>89</v>
      </c>
      <c r="B90" s="7" t="n">
        <f aca="false">RANDBETWEEN(30,50)</f>
        <v>33</v>
      </c>
      <c r="C90" s="7" t="n">
        <f aca="false">RANDBETWEEN(0,1)</f>
        <v>1</v>
      </c>
      <c r="D90" s="7" t="str">
        <f aca="false">IF(C90=0, "Homme", "Femme")</f>
        <v>Femme</v>
      </c>
      <c r="E90" s="7" t="n">
        <f aca="false">RANDBETWEEN(1,3)</f>
        <v>2</v>
      </c>
      <c r="F90" s="7" t="str">
        <f aca="false">IF(E90=1, "Favorable", IF(E90=2, "Défavorable", "Ne se prononce pas"))</f>
        <v>Défavorable</v>
      </c>
    </row>
    <row r="91" customFormat="false" ht="15" hidden="false" customHeight="false" outlineLevel="0" collapsed="false">
      <c r="A91" s="7" t="n">
        <f aca="false">A90+1</f>
        <v>90</v>
      </c>
      <c r="B91" s="7" t="n">
        <f aca="false">RANDBETWEEN(30,50)</f>
        <v>40</v>
      </c>
      <c r="C91" s="7" t="n">
        <f aca="false">RANDBETWEEN(0,1)</f>
        <v>0</v>
      </c>
      <c r="D91" s="7" t="str">
        <f aca="false">IF(C91=0, "Homme", "Femme")</f>
        <v>Homme</v>
      </c>
      <c r="E91" s="7" t="n">
        <f aca="false">RANDBETWEEN(1,3)</f>
        <v>3</v>
      </c>
      <c r="F91" s="7" t="str">
        <f aca="false">IF(E91=1, "Favorable", IF(E91=2, "Défavorable", "Ne se prononce pas"))</f>
        <v>Ne se prononce pas</v>
      </c>
    </row>
    <row r="92" customFormat="false" ht="15" hidden="false" customHeight="false" outlineLevel="0" collapsed="false">
      <c r="A92" s="7" t="n">
        <f aca="false">A91+1</f>
        <v>91</v>
      </c>
      <c r="B92" s="7" t="n">
        <f aca="false">RANDBETWEEN(30,50)</f>
        <v>33</v>
      </c>
      <c r="C92" s="7" t="n">
        <f aca="false">RANDBETWEEN(0,1)</f>
        <v>1</v>
      </c>
      <c r="D92" s="7" t="str">
        <f aca="false">IF(C92=0, "Homme", "Femme")</f>
        <v>Femme</v>
      </c>
      <c r="E92" s="7" t="n">
        <f aca="false">RANDBETWEEN(1,3)</f>
        <v>3</v>
      </c>
      <c r="F92" s="7" t="str">
        <f aca="false">IF(E92=1, "Favorable", IF(E92=2, "Défavorable", "Ne se prononce pas"))</f>
        <v>Ne se prononce pas</v>
      </c>
    </row>
    <row r="93" customFormat="false" ht="15" hidden="false" customHeight="false" outlineLevel="0" collapsed="false">
      <c r="A93" s="7" t="n">
        <f aca="false">A92+1</f>
        <v>92</v>
      </c>
      <c r="B93" s="7" t="n">
        <f aca="false">RANDBETWEEN(30,50)</f>
        <v>33</v>
      </c>
      <c r="C93" s="7" t="n">
        <f aca="false">RANDBETWEEN(0,1)</f>
        <v>1</v>
      </c>
      <c r="D93" s="7" t="str">
        <f aca="false">IF(C93=0, "Homme", "Femme")</f>
        <v>Femme</v>
      </c>
      <c r="E93" s="7" t="n">
        <f aca="false">RANDBETWEEN(1,3)</f>
        <v>3</v>
      </c>
      <c r="F93" s="7" t="str">
        <f aca="false">IF(E93=1, "Favorable", IF(E93=2, "Défavorable", "Ne se prononce pas"))</f>
        <v>Ne se prononce pas</v>
      </c>
    </row>
    <row r="94" customFormat="false" ht="15" hidden="false" customHeight="false" outlineLevel="0" collapsed="false">
      <c r="A94" s="7" t="n">
        <f aca="false">A93+1</f>
        <v>93</v>
      </c>
      <c r="B94" s="7" t="n">
        <f aca="false">RANDBETWEEN(30,50)</f>
        <v>39</v>
      </c>
      <c r="C94" s="7" t="n">
        <f aca="false">RANDBETWEEN(0,1)</f>
        <v>0</v>
      </c>
      <c r="D94" s="7" t="str">
        <f aca="false">IF(C94=0, "Homme", "Femme")</f>
        <v>Homme</v>
      </c>
      <c r="E94" s="7" t="n">
        <f aca="false">RANDBETWEEN(1,3)</f>
        <v>1</v>
      </c>
      <c r="F94" s="7" t="str">
        <f aca="false">IF(E94=1, "Favorable", IF(E94=2, "Défavorable", "Ne se prononce pas"))</f>
        <v>Favorable</v>
      </c>
    </row>
    <row r="95" customFormat="false" ht="15" hidden="false" customHeight="false" outlineLevel="0" collapsed="false">
      <c r="A95" s="7" t="n">
        <f aca="false">A94+1</f>
        <v>94</v>
      </c>
      <c r="B95" s="7" t="n">
        <f aca="false">RANDBETWEEN(30,50)</f>
        <v>39</v>
      </c>
      <c r="C95" s="7" t="n">
        <f aca="false">RANDBETWEEN(0,1)</f>
        <v>1</v>
      </c>
      <c r="D95" s="7" t="str">
        <f aca="false">IF(C95=0, "Homme", "Femme")</f>
        <v>Femme</v>
      </c>
      <c r="E95" s="7" t="n">
        <f aca="false">RANDBETWEEN(1,3)</f>
        <v>3</v>
      </c>
      <c r="F95" s="7" t="str">
        <f aca="false">IF(E95=1, "Favorable", IF(E95=2, "Défavorable", "Ne se prononce pas"))</f>
        <v>Ne se prononce pas</v>
      </c>
    </row>
    <row r="96" customFormat="false" ht="15" hidden="false" customHeight="false" outlineLevel="0" collapsed="false">
      <c r="A96" s="7" t="n">
        <f aca="false">A95+1</f>
        <v>95</v>
      </c>
      <c r="B96" s="7" t="n">
        <f aca="false">RANDBETWEEN(30,50)</f>
        <v>44</v>
      </c>
      <c r="C96" s="7" t="n">
        <f aca="false">RANDBETWEEN(0,1)</f>
        <v>1</v>
      </c>
      <c r="D96" s="7" t="str">
        <f aca="false">IF(C96=0, "Homme", "Femme")</f>
        <v>Femme</v>
      </c>
      <c r="E96" s="7" t="n">
        <f aca="false">RANDBETWEEN(1,3)</f>
        <v>3</v>
      </c>
      <c r="F96" s="7" t="str">
        <f aca="false">IF(E96=1, "Favorable", IF(E96=2, "Défavorable", "Ne se prononce pas"))</f>
        <v>Ne se prononce pas</v>
      </c>
    </row>
    <row r="97" customFormat="false" ht="15" hidden="false" customHeight="false" outlineLevel="0" collapsed="false">
      <c r="A97" s="7" t="n">
        <f aca="false">A96+1</f>
        <v>96</v>
      </c>
      <c r="B97" s="7" t="n">
        <f aca="false">RANDBETWEEN(30,50)</f>
        <v>37</v>
      </c>
      <c r="C97" s="7" t="n">
        <f aca="false">RANDBETWEEN(0,1)</f>
        <v>0</v>
      </c>
      <c r="D97" s="7" t="str">
        <f aca="false">IF(C97=0, "Homme", "Femme")</f>
        <v>Homme</v>
      </c>
      <c r="E97" s="7" t="n">
        <f aca="false">RANDBETWEEN(1,3)</f>
        <v>1</v>
      </c>
      <c r="F97" s="7" t="str">
        <f aca="false">IF(E97=1, "Favorable", IF(E97=2, "Défavorable", "Ne se prononce pas"))</f>
        <v>Favorable</v>
      </c>
    </row>
    <row r="98" customFormat="false" ht="15" hidden="false" customHeight="false" outlineLevel="0" collapsed="false">
      <c r="A98" s="7" t="n">
        <f aca="false">A97+1</f>
        <v>97</v>
      </c>
      <c r="B98" s="7" t="n">
        <f aca="false">RANDBETWEEN(30,50)</f>
        <v>43</v>
      </c>
      <c r="C98" s="7" t="n">
        <f aca="false">RANDBETWEEN(0,1)</f>
        <v>0</v>
      </c>
      <c r="D98" s="7" t="str">
        <f aca="false">IF(C98=0, "Homme", "Femme")</f>
        <v>Homme</v>
      </c>
      <c r="E98" s="7" t="n">
        <f aca="false">RANDBETWEEN(1,3)</f>
        <v>1</v>
      </c>
      <c r="F98" s="7" t="str">
        <f aca="false">IF(E98=1, "Favorable", IF(E98=2, "Défavorable", "Ne se prononce pas"))</f>
        <v>Favorable</v>
      </c>
    </row>
    <row r="99" customFormat="false" ht="15" hidden="false" customHeight="false" outlineLevel="0" collapsed="false">
      <c r="A99" s="7" t="n">
        <f aca="false">A98+1</f>
        <v>98</v>
      </c>
      <c r="B99" s="7" t="n">
        <f aca="false">RANDBETWEEN(30,50)</f>
        <v>47</v>
      </c>
      <c r="C99" s="7" t="n">
        <f aca="false">RANDBETWEEN(0,1)</f>
        <v>0</v>
      </c>
      <c r="D99" s="7" t="str">
        <f aca="false">IF(C99=0, "Homme", "Femme")</f>
        <v>Homme</v>
      </c>
      <c r="E99" s="7" t="n">
        <f aca="false">RANDBETWEEN(1,3)</f>
        <v>1</v>
      </c>
      <c r="F99" s="7" t="str">
        <f aca="false">IF(E99=1, "Favorable", IF(E99=2, "Défavorable", "Ne se prononce pas"))</f>
        <v>Favorable</v>
      </c>
    </row>
    <row r="100" customFormat="false" ht="15" hidden="false" customHeight="false" outlineLevel="0" collapsed="false">
      <c r="A100" s="7" t="n">
        <f aca="false">A99+1</f>
        <v>99</v>
      </c>
      <c r="B100" s="7" t="n">
        <f aca="false">RANDBETWEEN(30,50)</f>
        <v>32</v>
      </c>
      <c r="C100" s="7" t="n">
        <f aca="false">RANDBETWEEN(0,1)</f>
        <v>0</v>
      </c>
      <c r="D100" s="7" t="str">
        <f aca="false">IF(C100=0, "Homme", "Femme")</f>
        <v>Homme</v>
      </c>
      <c r="E100" s="7" t="n">
        <f aca="false">RANDBETWEEN(1,3)</f>
        <v>1</v>
      </c>
      <c r="F100" s="7" t="str">
        <f aca="false">IF(E100=1, "Favorable", IF(E100=2, "Défavorable", "Ne se prononce pas"))</f>
        <v>Favorable</v>
      </c>
    </row>
    <row r="101" customFormat="false" ht="15" hidden="false" customHeight="false" outlineLevel="0" collapsed="false">
      <c r="A101" s="7" t="n">
        <f aca="false">A100+1</f>
        <v>100</v>
      </c>
      <c r="B101" s="7" t="n">
        <f aca="false">RANDBETWEEN(30,50)</f>
        <v>36</v>
      </c>
      <c r="C101" s="7" t="n">
        <f aca="false">RANDBETWEEN(0,1)</f>
        <v>1</v>
      </c>
      <c r="D101" s="7" t="str">
        <f aca="false">IF(C101=0, "Homme", "Femme")</f>
        <v>Femme</v>
      </c>
      <c r="E101" s="7" t="n">
        <f aca="false">RANDBETWEEN(1,3)</f>
        <v>2</v>
      </c>
      <c r="F101" s="7" t="str">
        <f aca="false">IF(E101=1, "Favorable", IF(E101=2, "Défavorable", "Ne se prononce pas"))</f>
        <v>Défavorable</v>
      </c>
    </row>
    <row r="102" customFormat="false" ht="15" hidden="false" customHeight="false" outlineLevel="0" collapsed="false">
      <c r="A102" s="7" t="n">
        <f aca="false">A101+1</f>
        <v>101</v>
      </c>
      <c r="B102" s="7" t="n">
        <f aca="false">RANDBETWEEN(30,50)</f>
        <v>49</v>
      </c>
      <c r="C102" s="7" t="n">
        <f aca="false">RANDBETWEEN(0,1)</f>
        <v>0</v>
      </c>
      <c r="D102" s="7" t="str">
        <f aca="false">IF(C102=0, "Homme", "Femme")</f>
        <v>Homme</v>
      </c>
      <c r="E102" s="7" t="n">
        <f aca="false">RANDBETWEEN(1,3)</f>
        <v>2</v>
      </c>
      <c r="F102" s="7" t="str">
        <f aca="false">IF(E102=1, "Favorable", IF(E102=2, "Défavorable", "Ne se prononce pas"))</f>
        <v>Défavorable</v>
      </c>
    </row>
    <row r="103" customFormat="false" ht="15" hidden="false" customHeight="false" outlineLevel="0" collapsed="false">
      <c r="A103" s="7" t="n">
        <f aca="false">A102+1</f>
        <v>102</v>
      </c>
      <c r="B103" s="7" t="n">
        <f aca="false">RANDBETWEEN(30,50)</f>
        <v>38</v>
      </c>
      <c r="C103" s="7" t="n">
        <f aca="false">RANDBETWEEN(0,1)</f>
        <v>1</v>
      </c>
      <c r="D103" s="7" t="str">
        <f aca="false">IF(C103=0, "Homme", "Femme")</f>
        <v>Femme</v>
      </c>
      <c r="E103" s="7" t="n">
        <f aca="false">RANDBETWEEN(1,3)</f>
        <v>3</v>
      </c>
      <c r="F103" s="7" t="str">
        <f aca="false">IF(E103=1, "Favorable", IF(E103=2, "Défavorable", "Ne se prononce pas"))</f>
        <v>Ne se prononce pas</v>
      </c>
    </row>
    <row r="104" customFormat="false" ht="15" hidden="false" customHeight="false" outlineLevel="0" collapsed="false">
      <c r="A104" s="7" t="n">
        <f aca="false">A103+1</f>
        <v>103</v>
      </c>
      <c r="B104" s="7" t="n">
        <f aca="false">RANDBETWEEN(30,50)</f>
        <v>46</v>
      </c>
      <c r="C104" s="7" t="n">
        <f aca="false">RANDBETWEEN(0,1)</f>
        <v>0</v>
      </c>
      <c r="D104" s="7" t="str">
        <f aca="false">IF(C104=0, "Homme", "Femme")</f>
        <v>Homme</v>
      </c>
      <c r="E104" s="7" t="n">
        <f aca="false">RANDBETWEEN(1,3)</f>
        <v>2</v>
      </c>
      <c r="F104" s="7" t="str">
        <f aca="false">IF(E104=1, "Favorable", IF(E104=2, "Défavorable", "Ne se prononce pas"))</f>
        <v>Défavorable</v>
      </c>
    </row>
    <row r="105" customFormat="false" ht="15" hidden="false" customHeight="false" outlineLevel="0" collapsed="false">
      <c r="A105" s="7" t="n">
        <f aca="false">A104+1</f>
        <v>104</v>
      </c>
      <c r="B105" s="7" t="n">
        <f aca="false">RANDBETWEEN(30,50)</f>
        <v>35</v>
      </c>
      <c r="C105" s="7" t="n">
        <f aca="false">RANDBETWEEN(0,1)</f>
        <v>0</v>
      </c>
      <c r="D105" s="7" t="str">
        <f aca="false">IF(C105=0, "Homme", "Femme")</f>
        <v>Homme</v>
      </c>
      <c r="E105" s="7" t="n">
        <f aca="false">RANDBETWEEN(1,3)</f>
        <v>2</v>
      </c>
      <c r="F105" s="7" t="str">
        <f aca="false">IF(E105=1, "Favorable", IF(E105=2, "Défavorable", "Ne se prononce pas"))</f>
        <v>Défavorable</v>
      </c>
    </row>
    <row r="106" customFormat="false" ht="15" hidden="false" customHeight="false" outlineLevel="0" collapsed="false">
      <c r="A106" s="7" t="n">
        <f aca="false">A105+1</f>
        <v>105</v>
      </c>
      <c r="B106" s="7" t="n">
        <f aca="false">RANDBETWEEN(30,50)</f>
        <v>42</v>
      </c>
      <c r="C106" s="7" t="n">
        <f aca="false">RANDBETWEEN(0,1)</f>
        <v>1</v>
      </c>
      <c r="D106" s="7" t="str">
        <f aca="false">IF(C106=0, "Homme", "Femme")</f>
        <v>Femme</v>
      </c>
      <c r="E106" s="7" t="n">
        <f aca="false">RANDBETWEEN(1,3)</f>
        <v>3</v>
      </c>
      <c r="F106" s="7" t="str">
        <f aca="false">IF(E106=1, "Favorable", IF(E106=2, "Défavorable", "Ne se prononce pas"))</f>
        <v>Ne se prononce pas</v>
      </c>
    </row>
    <row r="107" customFormat="false" ht="15" hidden="false" customHeight="false" outlineLevel="0" collapsed="false">
      <c r="A107" s="7" t="n">
        <f aca="false">A106+1</f>
        <v>106</v>
      </c>
      <c r="B107" s="7" t="n">
        <f aca="false">RANDBETWEEN(30,50)</f>
        <v>36</v>
      </c>
      <c r="C107" s="7" t="n">
        <f aca="false">RANDBETWEEN(0,1)</f>
        <v>0</v>
      </c>
      <c r="D107" s="7" t="str">
        <f aca="false">IF(C107=0, "Homme", "Femme")</f>
        <v>Homme</v>
      </c>
      <c r="E107" s="7" t="n">
        <f aca="false">RANDBETWEEN(1,3)</f>
        <v>3</v>
      </c>
      <c r="F107" s="7" t="str">
        <f aca="false">IF(E107=1, "Favorable", IF(E107=2, "Défavorable", "Ne se prononce pas"))</f>
        <v>Ne se prononce pas</v>
      </c>
    </row>
    <row r="108" customFormat="false" ht="15" hidden="false" customHeight="false" outlineLevel="0" collapsed="false">
      <c r="A108" s="7" t="n">
        <f aca="false">A107+1</f>
        <v>107</v>
      </c>
      <c r="B108" s="7" t="n">
        <f aca="false">RANDBETWEEN(30,50)</f>
        <v>47</v>
      </c>
      <c r="C108" s="7" t="n">
        <f aca="false">RANDBETWEEN(0,1)</f>
        <v>0</v>
      </c>
      <c r="D108" s="7" t="str">
        <f aca="false">IF(C108=0, "Homme", "Femme")</f>
        <v>Homme</v>
      </c>
      <c r="E108" s="7" t="n">
        <f aca="false">RANDBETWEEN(1,3)</f>
        <v>3</v>
      </c>
      <c r="F108" s="7" t="str">
        <f aca="false">IF(E108=1, "Favorable", IF(E108=2, "Défavorable", "Ne se prononce pas"))</f>
        <v>Ne se prononce pas</v>
      </c>
    </row>
    <row r="109" customFormat="false" ht="15" hidden="false" customHeight="false" outlineLevel="0" collapsed="false">
      <c r="A109" s="7" t="n">
        <f aca="false">A108+1</f>
        <v>108</v>
      </c>
      <c r="B109" s="7" t="n">
        <f aca="false">RANDBETWEEN(30,50)</f>
        <v>37</v>
      </c>
      <c r="C109" s="7" t="n">
        <f aca="false">RANDBETWEEN(0,1)</f>
        <v>1</v>
      </c>
      <c r="D109" s="7" t="str">
        <f aca="false">IF(C109=0, "Homme", "Femme")</f>
        <v>Femme</v>
      </c>
      <c r="E109" s="7" t="n">
        <f aca="false">RANDBETWEEN(1,3)</f>
        <v>2</v>
      </c>
      <c r="F109" s="7" t="str">
        <f aca="false">IF(E109=1, "Favorable", IF(E109=2, "Défavorable", "Ne se prononce pas"))</f>
        <v>Défavorable</v>
      </c>
    </row>
    <row r="110" customFormat="false" ht="15" hidden="false" customHeight="false" outlineLevel="0" collapsed="false">
      <c r="A110" s="7" t="n">
        <f aca="false">A109+1</f>
        <v>109</v>
      </c>
      <c r="B110" s="7" t="n">
        <f aca="false">RANDBETWEEN(30,50)</f>
        <v>32</v>
      </c>
      <c r="C110" s="7" t="n">
        <f aca="false">RANDBETWEEN(0,1)</f>
        <v>1</v>
      </c>
      <c r="D110" s="7" t="str">
        <f aca="false">IF(C110=0, "Homme", "Femme")</f>
        <v>Femme</v>
      </c>
      <c r="E110" s="7" t="n">
        <f aca="false">RANDBETWEEN(1,3)</f>
        <v>2</v>
      </c>
      <c r="F110" s="7" t="str">
        <f aca="false">IF(E110=1, "Favorable", IF(E110=2, "Défavorable", "Ne se prononce pas"))</f>
        <v>Défavorable</v>
      </c>
    </row>
    <row r="111" customFormat="false" ht="15" hidden="false" customHeight="false" outlineLevel="0" collapsed="false">
      <c r="A111" s="7" t="n">
        <f aca="false">A110+1</f>
        <v>110</v>
      </c>
      <c r="B111" s="7" t="n">
        <f aca="false">RANDBETWEEN(30,50)</f>
        <v>33</v>
      </c>
      <c r="C111" s="7" t="n">
        <f aca="false">RANDBETWEEN(0,1)</f>
        <v>0</v>
      </c>
      <c r="D111" s="7" t="str">
        <f aca="false">IF(C111=0, "Homme", "Femme")</f>
        <v>Homme</v>
      </c>
      <c r="E111" s="7" t="n">
        <f aca="false">RANDBETWEEN(1,3)</f>
        <v>3</v>
      </c>
      <c r="F111" s="7" t="str">
        <f aca="false">IF(E111=1, "Favorable", IF(E111=2, "Défavorable", "Ne se prononce pas"))</f>
        <v>Ne se prononce pas</v>
      </c>
    </row>
    <row r="112" customFormat="false" ht="15" hidden="false" customHeight="false" outlineLevel="0" collapsed="false">
      <c r="A112" s="7" t="n">
        <f aca="false">A111+1</f>
        <v>111</v>
      </c>
      <c r="B112" s="7" t="n">
        <f aca="false">RANDBETWEEN(30,50)</f>
        <v>32</v>
      </c>
      <c r="C112" s="7" t="n">
        <f aca="false">RANDBETWEEN(0,1)</f>
        <v>1</v>
      </c>
      <c r="D112" s="7" t="str">
        <f aca="false">IF(C112=0, "Homme", "Femme")</f>
        <v>Femme</v>
      </c>
      <c r="E112" s="7" t="n">
        <f aca="false">RANDBETWEEN(1,3)</f>
        <v>2</v>
      </c>
      <c r="F112" s="7" t="str">
        <f aca="false">IF(E112=1, "Favorable", IF(E112=2, "Défavorable", "Ne se prononce pas"))</f>
        <v>Défavorable</v>
      </c>
    </row>
    <row r="113" customFormat="false" ht="15" hidden="false" customHeight="false" outlineLevel="0" collapsed="false">
      <c r="A113" s="7" t="n">
        <f aca="false">A112+1</f>
        <v>112</v>
      </c>
      <c r="B113" s="7" t="n">
        <f aca="false">RANDBETWEEN(30,50)</f>
        <v>41</v>
      </c>
      <c r="C113" s="7" t="n">
        <f aca="false">RANDBETWEEN(0,1)</f>
        <v>0</v>
      </c>
      <c r="D113" s="7" t="str">
        <f aca="false">IF(C113=0, "Homme", "Femme")</f>
        <v>Homme</v>
      </c>
      <c r="E113" s="7" t="n">
        <f aca="false">RANDBETWEEN(1,3)</f>
        <v>2</v>
      </c>
      <c r="F113" s="7" t="str">
        <f aca="false">IF(E113=1, "Favorable", IF(E113=2, "Défavorable", "Ne se prononce pas"))</f>
        <v>Défavorable</v>
      </c>
    </row>
    <row r="114" customFormat="false" ht="15" hidden="false" customHeight="false" outlineLevel="0" collapsed="false">
      <c r="A114" s="7" t="n">
        <f aca="false">A113+1</f>
        <v>113</v>
      </c>
      <c r="B114" s="7" t="n">
        <f aca="false">RANDBETWEEN(30,50)</f>
        <v>32</v>
      </c>
      <c r="C114" s="7" t="n">
        <f aca="false">RANDBETWEEN(0,1)</f>
        <v>1</v>
      </c>
      <c r="D114" s="7" t="str">
        <f aca="false">IF(C114=0, "Homme", "Femme")</f>
        <v>Femme</v>
      </c>
      <c r="E114" s="7" t="n">
        <f aca="false">RANDBETWEEN(1,3)</f>
        <v>2</v>
      </c>
      <c r="F114" s="7" t="str">
        <f aca="false">IF(E114=1, "Favorable", IF(E114=2, "Défavorable", "Ne se prononce pas"))</f>
        <v>Défavorable</v>
      </c>
    </row>
    <row r="115" customFormat="false" ht="15" hidden="false" customHeight="false" outlineLevel="0" collapsed="false">
      <c r="A115" s="7" t="n">
        <f aca="false">A114+1</f>
        <v>114</v>
      </c>
      <c r="B115" s="7" t="n">
        <f aca="false">RANDBETWEEN(30,50)</f>
        <v>44</v>
      </c>
      <c r="C115" s="7" t="n">
        <f aca="false">RANDBETWEEN(0,1)</f>
        <v>1</v>
      </c>
      <c r="D115" s="7" t="str">
        <f aca="false">IF(C115=0, "Homme", "Femme")</f>
        <v>Femme</v>
      </c>
      <c r="E115" s="7" t="n">
        <f aca="false">RANDBETWEEN(1,3)</f>
        <v>2</v>
      </c>
      <c r="F115" s="7" t="str">
        <f aca="false">IF(E115=1, "Favorable", IF(E115=2, "Défavorable", "Ne se prononce pas"))</f>
        <v>Défavorable</v>
      </c>
    </row>
    <row r="116" customFormat="false" ht="15" hidden="false" customHeight="false" outlineLevel="0" collapsed="false">
      <c r="A116" s="7" t="n">
        <f aca="false">A115+1</f>
        <v>115</v>
      </c>
      <c r="B116" s="7" t="n">
        <f aca="false">RANDBETWEEN(30,50)</f>
        <v>37</v>
      </c>
      <c r="C116" s="7" t="n">
        <f aca="false">RANDBETWEEN(0,1)</f>
        <v>0</v>
      </c>
      <c r="D116" s="7" t="str">
        <f aca="false">IF(C116=0, "Homme", "Femme")</f>
        <v>Homme</v>
      </c>
      <c r="E116" s="7" t="n">
        <f aca="false">RANDBETWEEN(1,3)</f>
        <v>1</v>
      </c>
      <c r="F116" s="7" t="str">
        <f aca="false">IF(E116=1, "Favorable", IF(E116=2, "Défavorable", "Ne se prononce pas"))</f>
        <v>Favorable</v>
      </c>
    </row>
    <row r="117" customFormat="false" ht="15" hidden="false" customHeight="false" outlineLevel="0" collapsed="false">
      <c r="A117" s="7" t="n">
        <f aca="false">A116+1</f>
        <v>116</v>
      </c>
      <c r="B117" s="7" t="n">
        <f aca="false">RANDBETWEEN(30,50)</f>
        <v>37</v>
      </c>
      <c r="C117" s="7" t="n">
        <f aca="false">RANDBETWEEN(0,1)</f>
        <v>0</v>
      </c>
      <c r="D117" s="7" t="str">
        <f aca="false">IF(C117=0, "Homme", "Femme")</f>
        <v>Homme</v>
      </c>
      <c r="E117" s="7" t="n">
        <f aca="false">RANDBETWEEN(1,3)</f>
        <v>1</v>
      </c>
      <c r="F117" s="7" t="str">
        <f aca="false">IF(E117=1, "Favorable", IF(E117=2, "Défavorable", "Ne se prononce pas"))</f>
        <v>Favorable</v>
      </c>
    </row>
    <row r="118" customFormat="false" ht="15" hidden="false" customHeight="false" outlineLevel="0" collapsed="false">
      <c r="A118" s="7" t="n">
        <f aca="false">A117+1</f>
        <v>117</v>
      </c>
      <c r="B118" s="7" t="n">
        <f aca="false">RANDBETWEEN(30,50)</f>
        <v>50</v>
      </c>
      <c r="C118" s="7" t="n">
        <f aca="false">RANDBETWEEN(0,1)</f>
        <v>0</v>
      </c>
      <c r="D118" s="7" t="str">
        <f aca="false">IF(C118=0, "Homme", "Femme")</f>
        <v>Homme</v>
      </c>
      <c r="E118" s="7" t="n">
        <f aca="false">RANDBETWEEN(1,3)</f>
        <v>1</v>
      </c>
      <c r="F118" s="7" t="str">
        <f aca="false">IF(E118=1, "Favorable", IF(E118=2, "Défavorable", "Ne se prononce pas"))</f>
        <v>Favorable</v>
      </c>
    </row>
    <row r="119" customFormat="false" ht="15" hidden="false" customHeight="false" outlineLevel="0" collapsed="false">
      <c r="A119" s="7" t="n">
        <f aca="false">A118+1</f>
        <v>118</v>
      </c>
      <c r="B119" s="7" t="n">
        <f aca="false">RANDBETWEEN(30,50)</f>
        <v>49</v>
      </c>
      <c r="C119" s="7" t="n">
        <f aca="false">RANDBETWEEN(0,1)</f>
        <v>1</v>
      </c>
      <c r="D119" s="7" t="str">
        <f aca="false">IF(C119=0, "Homme", "Femme")</f>
        <v>Femme</v>
      </c>
      <c r="E119" s="7" t="n">
        <f aca="false">RANDBETWEEN(1,3)</f>
        <v>2</v>
      </c>
      <c r="F119" s="7" t="str">
        <f aca="false">IF(E119=1, "Favorable", IF(E119=2, "Défavorable", "Ne se prononce pas"))</f>
        <v>Défavorable</v>
      </c>
    </row>
    <row r="120" customFormat="false" ht="15" hidden="false" customHeight="false" outlineLevel="0" collapsed="false">
      <c r="A120" s="7" t="n">
        <f aca="false">A119+1</f>
        <v>119</v>
      </c>
      <c r="B120" s="7" t="n">
        <f aca="false">RANDBETWEEN(30,50)</f>
        <v>40</v>
      </c>
      <c r="C120" s="7" t="n">
        <f aca="false">RANDBETWEEN(0,1)</f>
        <v>0</v>
      </c>
      <c r="D120" s="7" t="str">
        <f aca="false">IF(C120=0, "Homme", "Femme")</f>
        <v>Homme</v>
      </c>
      <c r="E120" s="7" t="n">
        <f aca="false">RANDBETWEEN(1,3)</f>
        <v>3</v>
      </c>
      <c r="F120" s="7" t="str">
        <f aca="false">IF(E120=1, "Favorable", IF(E120=2, "Défavorable", "Ne se prononce pas"))</f>
        <v>Ne se prononce pas</v>
      </c>
    </row>
    <row r="121" customFormat="false" ht="15" hidden="false" customHeight="false" outlineLevel="0" collapsed="false">
      <c r="A121" s="7" t="n">
        <f aca="false">A120+1</f>
        <v>120</v>
      </c>
      <c r="B121" s="7" t="n">
        <f aca="false">RANDBETWEEN(30,50)</f>
        <v>49</v>
      </c>
      <c r="C121" s="7" t="n">
        <f aca="false">RANDBETWEEN(0,1)</f>
        <v>1</v>
      </c>
      <c r="D121" s="7" t="str">
        <f aca="false">IF(C121=0, "Homme", "Femme")</f>
        <v>Femme</v>
      </c>
      <c r="E121" s="7" t="n">
        <f aca="false">RANDBETWEEN(1,3)</f>
        <v>2</v>
      </c>
      <c r="F121" s="7" t="str">
        <f aca="false">IF(E121=1, "Favorable", IF(E121=2, "Défavorable", "Ne se prononce pas"))</f>
        <v>Défavorable</v>
      </c>
    </row>
    <row r="122" customFormat="false" ht="15" hidden="false" customHeight="false" outlineLevel="0" collapsed="false">
      <c r="A122" s="7" t="n">
        <f aca="false">A121+1</f>
        <v>121</v>
      </c>
      <c r="B122" s="7" t="n">
        <f aca="false">RANDBETWEEN(30,50)</f>
        <v>40</v>
      </c>
      <c r="C122" s="7" t="n">
        <f aca="false">RANDBETWEEN(0,1)</f>
        <v>1</v>
      </c>
      <c r="D122" s="7" t="str">
        <f aca="false">IF(C122=0, "Homme", "Femme")</f>
        <v>Femme</v>
      </c>
      <c r="E122" s="7" t="n">
        <f aca="false">RANDBETWEEN(1,3)</f>
        <v>1</v>
      </c>
      <c r="F122" s="7" t="str">
        <f aca="false">IF(E122=1, "Favorable", IF(E122=2, "Défavorable", "Ne se prononce pas"))</f>
        <v>Favorable</v>
      </c>
    </row>
    <row r="123" customFormat="false" ht="15" hidden="false" customHeight="false" outlineLevel="0" collapsed="false">
      <c r="A123" s="7" t="n">
        <f aca="false">A122+1</f>
        <v>122</v>
      </c>
      <c r="B123" s="7" t="n">
        <f aca="false">RANDBETWEEN(30,50)</f>
        <v>49</v>
      </c>
      <c r="C123" s="7" t="n">
        <f aca="false">RANDBETWEEN(0,1)</f>
        <v>1</v>
      </c>
      <c r="D123" s="7" t="str">
        <f aca="false">IF(C123=0, "Homme", "Femme")</f>
        <v>Femme</v>
      </c>
      <c r="E123" s="7" t="n">
        <f aca="false">RANDBETWEEN(1,3)</f>
        <v>3</v>
      </c>
      <c r="F123" s="7" t="str">
        <f aca="false">IF(E123=1, "Favorable", IF(E123=2, "Défavorable", "Ne se prononce pas"))</f>
        <v>Ne se prononce pas</v>
      </c>
    </row>
    <row r="124" customFormat="false" ht="15" hidden="false" customHeight="false" outlineLevel="0" collapsed="false">
      <c r="A124" s="7" t="n">
        <f aca="false">A123+1</f>
        <v>123</v>
      </c>
      <c r="B124" s="7" t="n">
        <f aca="false">RANDBETWEEN(30,50)</f>
        <v>40</v>
      </c>
      <c r="C124" s="7" t="n">
        <f aca="false">RANDBETWEEN(0,1)</f>
        <v>0</v>
      </c>
      <c r="D124" s="7" t="str">
        <f aca="false">IF(C124=0, "Homme", "Femme")</f>
        <v>Homme</v>
      </c>
      <c r="E124" s="7" t="n">
        <f aca="false">RANDBETWEEN(1,3)</f>
        <v>1</v>
      </c>
      <c r="F124" s="7" t="str">
        <f aca="false">IF(E124=1, "Favorable", IF(E124=2, "Défavorable", "Ne se prononce pas"))</f>
        <v>Favorable</v>
      </c>
    </row>
    <row r="125" customFormat="false" ht="15" hidden="false" customHeight="false" outlineLevel="0" collapsed="false">
      <c r="A125" s="7" t="n">
        <f aca="false">A124+1</f>
        <v>124</v>
      </c>
      <c r="B125" s="7" t="n">
        <f aca="false">RANDBETWEEN(30,50)</f>
        <v>32</v>
      </c>
      <c r="C125" s="7" t="n">
        <f aca="false">RANDBETWEEN(0,1)</f>
        <v>0</v>
      </c>
      <c r="D125" s="7" t="str">
        <f aca="false">IF(C125=0, "Homme", "Femme")</f>
        <v>Homme</v>
      </c>
      <c r="E125" s="7" t="n">
        <f aca="false">RANDBETWEEN(1,3)</f>
        <v>1</v>
      </c>
      <c r="F125" s="7" t="str">
        <f aca="false">IF(E125=1, "Favorable", IF(E125=2, "Défavorable", "Ne se prononce pas"))</f>
        <v>Favorable</v>
      </c>
    </row>
    <row r="126" customFormat="false" ht="15" hidden="false" customHeight="false" outlineLevel="0" collapsed="false">
      <c r="A126" s="7" t="n">
        <f aca="false">A125+1</f>
        <v>125</v>
      </c>
      <c r="B126" s="7" t="n">
        <f aca="false">RANDBETWEEN(30,50)</f>
        <v>49</v>
      </c>
      <c r="C126" s="7" t="n">
        <f aca="false">RANDBETWEEN(0,1)</f>
        <v>1</v>
      </c>
      <c r="D126" s="7" t="str">
        <f aca="false">IF(C126=0, "Homme", "Femme")</f>
        <v>Femme</v>
      </c>
      <c r="E126" s="7" t="n">
        <f aca="false">RANDBETWEEN(1,3)</f>
        <v>2</v>
      </c>
      <c r="F126" s="7" t="str">
        <f aca="false">IF(E126=1, "Favorable", IF(E126=2, "Défavorable", "Ne se prononce pas"))</f>
        <v>Défavorable</v>
      </c>
    </row>
    <row r="127" customFormat="false" ht="15" hidden="false" customHeight="false" outlineLevel="0" collapsed="false">
      <c r="A127" s="7" t="n">
        <f aca="false">A126+1</f>
        <v>126</v>
      </c>
      <c r="B127" s="7" t="n">
        <f aca="false">RANDBETWEEN(30,50)</f>
        <v>36</v>
      </c>
      <c r="C127" s="7" t="n">
        <f aca="false">RANDBETWEEN(0,1)</f>
        <v>0</v>
      </c>
      <c r="D127" s="7" t="str">
        <f aca="false">IF(C127=0, "Homme", "Femme")</f>
        <v>Homme</v>
      </c>
      <c r="E127" s="7" t="n">
        <f aca="false">RANDBETWEEN(1,3)</f>
        <v>1</v>
      </c>
      <c r="F127" s="7" t="str">
        <f aca="false">IF(E127=1, "Favorable", IF(E127=2, "Défavorable", "Ne se prononce pas"))</f>
        <v>Favorable</v>
      </c>
    </row>
    <row r="128" customFormat="false" ht="15" hidden="false" customHeight="false" outlineLevel="0" collapsed="false">
      <c r="A128" s="7" t="n">
        <f aca="false">A127+1</f>
        <v>127</v>
      </c>
      <c r="B128" s="7" t="n">
        <f aca="false">RANDBETWEEN(30,50)</f>
        <v>32</v>
      </c>
      <c r="C128" s="7" t="n">
        <f aca="false">RANDBETWEEN(0,1)</f>
        <v>1</v>
      </c>
      <c r="D128" s="7" t="str">
        <f aca="false">IF(C128=0, "Homme", "Femme")</f>
        <v>Femme</v>
      </c>
      <c r="E128" s="7" t="n">
        <f aca="false">RANDBETWEEN(1,3)</f>
        <v>1</v>
      </c>
      <c r="F128" s="7" t="str">
        <f aca="false">IF(E128=1, "Favorable", IF(E128=2, "Défavorable", "Ne se prononce pas"))</f>
        <v>Favorable</v>
      </c>
    </row>
    <row r="129" customFormat="false" ht="15" hidden="false" customHeight="false" outlineLevel="0" collapsed="false">
      <c r="A129" s="7" t="n">
        <f aca="false">A128+1</f>
        <v>128</v>
      </c>
      <c r="B129" s="7" t="n">
        <f aca="false">RANDBETWEEN(30,50)</f>
        <v>49</v>
      </c>
      <c r="C129" s="7" t="n">
        <f aca="false">RANDBETWEEN(0,1)</f>
        <v>0</v>
      </c>
      <c r="D129" s="7" t="str">
        <f aca="false">IF(C129=0, "Homme", "Femme")</f>
        <v>Homme</v>
      </c>
      <c r="E129" s="7" t="n">
        <f aca="false">RANDBETWEEN(1,3)</f>
        <v>3</v>
      </c>
      <c r="F129" s="7" t="str">
        <f aca="false">IF(E129=1, "Favorable", IF(E129=2, "Défavorable", "Ne se prononce pas"))</f>
        <v>Ne se prononce pas</v>
      </c>
    </row>
    <row r="130" customFormat="false" ht="15" hidden="false" customHeight="false" outlineLevel="0" collapsed="false">
      <c r="A130" s="7" t="n">
        <f aca="false">A129+1</f>
        <v>129</v>
      </c>
      <c r="B130" s="7" t="n">
        <f aca="false">RANDBETWEEN(30,50)</f>
        <v>43</v>
      </c>
      <c r="C130" s="7" t="n">
        <f aca="false">RANDBETWEEN(0,1)</f>
        <v>1</v>
      </c>
      <c r="D130" s="7" t="str">
        <f aca="false">IF(C130=0, "Homme", "Femme")</f>
        <v>Femme</v>
      </c>
      <c r="E130" s="7" t="n">
        <f aca="false">RANDBETWEEN(1,3)</f>
        <v>1</v>
      </c>
      <c r="F130" s="7" t="str">
        <f aca="false">IF(E130=1, "Favorable", IF(E130=2, "Défavorable", "Ne se prononce pas"))</f>
        <v>Favorable</v>
      </c>
    </row>
    <row r="131" customFormat="false" ht="15" hidden="false" customHeight="false" outlineLevel="0" collapsed="false">
      <c r="A131" s="7" t="n">
        <f aca="false">A130+1</f>
        <v>130</v>
      </c>
      <c r="B131" s="7" t="n">
        <f aca="false">RANDBETWEEN(30,50)</f>
        <v>41</v>
      </c>
      <c r="C131" s="7" t="n">
        <f aca="false">RANDBETWEEN(0,1)</f>
        <v>0</v>
      </c>
      <c r="D131" s="7" t="str">
        <f aca="false">IF(C131=0, "Homme", "Femme")</f>
        <v>Homme</v>
      </c>
      <c r="E131" s="7" t="n">
        <f aca="false">RANDBETWEEN(1,3)</f>
        <v>1</v>
      </c>
      <c r="F131" s="7" t="str">
        <f aca="false">IF(E131=1, "Favorable", IF(E131=2, "Défavorable", "Ne se prononce pas"))</f>
        <v>Favorable</v>
      </c>
    </row>
    <row r="132" customFormat="false" ht="15" hidden="false" customHeight="false" outlineLevel="0" collapsed="false">
      <c r="A132" s="7" t="n">
        <f aca="false">A131+1</f>
        <v>131</v>
      </c>
      <c r="B132" s="7" t="n">
        <f aca="false">RANDBETWEEN(30,50)</f>
        <v>46</v>
      </c>
      <c r="C132" s="7" t="n">
        <f aca="false">RANDBETWEEN(0,1)</f>
        <v>1</v>
      </c>
      <c r="D132" s="7" t="str">
        <f aca="false">IF(C132=0, "Homme", "Femme")</f>
        <v>Femme</v>
      </c>
      <c r="E132" s="7" t="n">
        <f aca="false">RANDBETWEEN(1,3)</f>
        <v>3</v>
      </c>
      <c r="F132" s="7" t="str">
        <f aca="false">IF(E132=1, "Favorable", IF(E132=2, "Défavorable", "Ne se prononce pas"))</f>
        <v>Ne se prononce pas</v>
      </c>
    </row>
    <row r="133" customFormat="false" ht="15" hidden="false" customHeight="false" outlineLevel="0" collapsed="false">
      <c r="A133" s="7" t="n">
        <f aca="false">A132+1</f>
        <v>132</v>
      </c>
      <c r="B133" s="7" t="n">
        <f aca="false">RANDBETWEEN(30,50)</f>
        <v>47</v>
      </c>
      <c r="C133" s="7" t="n">
        <f aca="false">RANDBETWEEN(0,1)</f>
        <v>1</v>
      </c>
      <c r="D133" s="7" t="str">
        <f aca="false">IF(C133=0, "Homme", "Femme")</f>
        <v>Femme</v>
      </c>
      <c r="E133" s="7" t="n">
        <f aca="false">RANDBETWEEN(1,3)</f>
        <v>2</v>
      </c>
      <c r="F133" s="7" t="str">
        <f aca="false">IF(E133=1, "Favorable", IF(E133=2, "Défavorable", "Ne se prononce pas"))</f>
        <v>Défavorable</v>
      </c>
    </row>
    <row r="134" customFormat="false" ht="15" hidden="false" customHeight="false" outlineLevel="0" collapsed="false">
      <c r="A134" s="7" t="n">
        <f aca="false">A133+1</f>
        <v>133</v>
      </c>
      <c r="B134" s="7" t="n">
        <f aca="false">RANDBETWEEN(30,50)</f>
        <v>38</v>
      </c>
      <c r="C134" s="7" t="n">
        <f aca="false">RANDBETWEEN(0,1)</f>
        <v>1</v>
      </c>
      <c r="D134" s="7" t="str">
        <f aca="false">IF(C134=0, "Homme", "Femme")</f>
        <v>Femme</v>
      </c>
      <c r="E134" s="7" t="n">
        <f aca="false">RANDBETWEEN(1,3)</f>
        <v>2</v>
      </c>
      <c r="F134" s="7" t="str">
        <f aca="false">IF(E134=1, "Favorable", IF(E134=2, "Défavorable", "Ne se prononce pas"))</f>
        <v>Défavorable</v>
      </c>
    </row>
    <row r="135" customFormat="false" ht="15" hidden="false" customHeight="false" outlineLevel="0" collapsed="false">
      <c r="A135" s="7" t="n">
        <f aca="false">A134+1</f>
        <v>134</v>
      </c>
      <c r="B135" s="7" t="n">
        <f aca="false">RANDBETWEEN(30,50)</f>
        <v>50</v>
      </c>
      <c r="C135" s="7" t="n">
        <f aca="false">RANDBETWEEN(0,1)</f>
        <v>0</v>
      </c>
      <c r="D135" s="7" t="str">
        <f aca="false">IF(C135=0, "Homme", "Femme")</f>
        <v>Homme</v>
      </c>
      <c r="E135" s="7" t="n">
        <f aca="false">RANDBETWEEN(1,3)</f>
        <v>1</v>
      </c>
      <c r="F135" s="7" t="str">
        <f aca="false">IF(E135=1, "Favorable", IF(E135=2, "Défavorable", "Ne se prononce pas"))</f>
        <v>Favorable</v>
      </c>
    </row>
    <row r="136" customFormat="false" ht="15" hidden="false" customHeight="false" outlineLevel="0" collapsed="false">
      <c r="A136" s="7" t="n">
        <f aca="false">A135+1</f>
        <v>135</v>
      </c>
      <c r="B136" s="7" t="n">
        <f aca="false">RANDBETWEEN(30,50)</f>
        <v>50</v>
      </c>
      <c r="C136" s="7" t="n">
        <f aca="false">RANDBETWEEN(0,1)</f>
        <v>0</v>
      </c>
      <c r="D136" s="7" t="str">
        <f aca="false">IF(C136=0, "Homme", "Femme")</f>
        <v>Homme</v>
      </c>
      <c r="E136" s="7" t="n">
        <f aca="false">RANDBETWEEN(1,3)</f>
        <v>2</v>
      </c>
      <c r="F136" s="7" t="str">
        <f aca="false">IF(E136=1, "Favorable", IF(E136=2, "Défavorable", "Ne se prononce pas"))</f>
        <v>Défavorable</v>
      </c>
    </row>
    <row r="137" customFormat="false" ht="15" hidden="false" customHeight="false" outlineLevel="0" collapsed="false">
      <c r="A137" s="7" t="n">
        <f aca="false">A136+1</f>
        <v>136</v>
      </c>
      <c r="B137" s="7" t="n">
        <f aca="false">RANDBETWEEN(30,50)</f>
        <v>38</v>
      </c>
      <c r="C137" s="7" t="n">
        <f aca="false">RANDBETWEEN(0,1)</f>
        <v>1</v>
      </c>
      <c r="D137" s="7" t="str">
        <f aca="false">IF(C137=0, "Homme", "Femme")</f>
        <v>Femme</v>
      </c>
      <c r="E137" s="7" t="n">
        <f aca="false">RANDBETWEEN(1,3)</f>
        <v>1</v>
      </c>
      <c r="F137" s="7" t="str">
        <f aca="false">IF(E137=1, "Favorable", IF(E137=2, "Défavorable", "Ne se prononce pas"))</f>
        <v>Favorable</v>
      </c>
    </row>
    <row r="138" customFormat="false" ht="15" hidden="false" customHeight="false" outlineLevel="0" collapsed="false">
      <c r="A138" s="7" t="n">
        <f aca="false">A137+1</f>
        <v>137</v>
      </c>
      <c r="B138" s="7" t="n">
        <f aca="false">RANDBETWEEN(30,50)</f>
        <v>40</v>
      </c>
      <c r="C138" s="7" t="n">
        <f aca="false">RANDBETWEEN(0,1)</f>
        <v>1</v>
      </c>
      <c r="D138" s="7" t="str">
        <f aca="false">IF(C138=0, "Homme", "Femme")</f>
        <v>Femme</v>
      </c>
      <c r="E138" s="7" t="n">
        <f aca="false">RANDBETWEEN(1,3)</f>
        <v>2</v>
      </c>
      <c r="F138" s="7" t="str">
        <f aca="false">IF(E138=1, "Favorable", IF(E138=2, "Défavorable", "Ne se prononce pas"))</f>
        <v>Défavorable</v>
      </c>
    </row>
    <row r="139" customFormat="false" ht="15" hidden="false" customHeight="false" outlineLevel="0" collapsed="false">
      <c r="A139" s="7" t="n">
        <f aca="false">A138+1</f>
        <v>138</v>
      </c>
      <c r="B139" s="7" t="n">
        <f aca="false">RANDBETWEEN(30,50)</f>
        <v>44</v>
      </c>
      <c r="C139" s="7" t="n">
        <f aca="false">RANDBETWEEN(0,1)</f>
        <v>1</v>
      </c>
      <c r="D139" s="7" t="str">
        <f aca="false">IF(C139=0, "Homme", "Femme")</f>
        <v>Femme</v>
      </c>
      <c r="E139" s="7" t="n">
        <f aca="false">RANDBETWEEN(1,3)</f>
        <v>3</v>
      </c>
      <c r="F139" s="7" t="str">
        <f aca="false">IF(E139=1, "Favorable", IF(E139=2, "Défavorable", "Ne se prononce pas"))</f>
        <v>Ne se prononce pas</v>
      </c>
    </row>
    <row r="140" customFormat="false" ht="15" hidden="false" customHeight="false" outlineLevel="0" collapsed="false">
      <c r="A140" s="7" t="n">
        <f aca="false">A139+1</f>
        <v>139</v>
      </c>
      <c r="B140" s="7" t="n">
        <f aca="false">RANDBETWEEN(30,50)</f>
        <v>50</v>
      </c>
      <c r="C140" s="7" t="n">
        <f aca="false">RANDBETWEEN(0,1)</f>
        <v>0</v>
      </c>
      <c r="D140" s="7" t="str">
        <f aca="false">IF(C140=0, "Homme", "Femme")</f>
        <v>Homme</v>
      </c>
      <c r="E140" s="7" t="n">
        <f aca="false">RANDBETWEEN(1,3)</f>
        <v>1</v>
      </c>
      <c r="F140" s="7" t="str">
        <f aca="false">IF(E140=1, "Favorable", IF(E140=2, "Défavorable", "Ne se prononce pas"))</f>
        <v>Favorable</v>
      </c>
    </row>
    <row r="141" customFormat="false" ht="15" hidden="false" customHeight="false" outlineLevel="0" collapsed="false">
      <c r="A141" s="7" t="n">
        <f aca="false">A140+1</f>
        <v>140</v>
      </c>
      <c r="B141" s="7" t="n">
        <f aca="false">RANDBETWEEN(30,50)</f>
        <v>42</v>
      </c>
      <c r="C141" s="7" t="n">
        <f aca="false">RANDBETWEEN(0,1)</f>
        <v>0</v>
      </c>
      <c r="D141" s="7" t="str">
        <f aca="false">IF(C141=0, "Homme", "Femme")</f>
        <v>Homme</v>
      </c>
      <c r="E141" s="7" t="n">
        <f aca="false">RANDBETWEEN(1,3)</f>
        <v>3</v>
      </c>
      <c r="F141" s="7" t="str">
        <f aca="false">IF(E141=1, "Favorable", IF(E141=2, "Défavorable", "Ne se prononce pas"))</f>
        <v>Ne se prononce pas</v>
      </c>
    </row>
    <row r="142" customFormat="false" ht="15" hidden="false" customHeight="false" outlineLevel="0" collapsed="false">
      <c r="A142" s="7" t="n">
        <f aca="false">A141+1</f>
        <v>141</v>
      </c>
      <c r="B142" s="7" t="n">
        <f aca="false">RANDBETWEEN(30,50)</f>
        <v>39</v>
      </c>
      <c r="C142" s="7" t="n">
        <f aca="false">RANDBETWEEN(0,1)</f>
        <v>0</v>
      </c>
      <c r="D142" s="7" t="str">
        <f aca="false">IF(C142=0, "Homme", "Femme")</f>
        <v>Homme</v>
      </c>
      <c r="E142" s="7" t="n">
        <f aca="false">RANDBETWEEN(1,3)</f>
        <v>1</v>
      </c>
      <c r="F142" s="7" t="str">
        <f aca="false">IF(E142=1, "Favorable", IF(E142=2, "Défavorable", "Ne se prononce pas"))</f>
        <v>Favorable</v>
      </c>
    </row>
    <row r="143" customFormat="false" ht="15" hidden="false" customHeight="false" outlineLevel="0" collapsed="false">
      <c r="A143" s="7" t="n">
        <f aca="false">A142+1</f>
        <v>142</v>
      </c>
      <c r="B143" s="7" t="n">
        <f aca="false">RANDBETWEEN(30,50)</f>
        <v>30</v>
      </c>
      <c r="C143" s="7" t="n">
        <f aca="false">RANDBETWEEN(0,1)</f>
        <v>0</v>
      </c>
      <c r="D143" s="7" t="str">
        <f aca="false">IF(C143=0, "Homme", "Femme")</f>
        <v>Homme</v>
      </c>
      <c r="E143" s="7" t="n">
        <f aca="false">RANDBETWEEN(1,3)</f>
        <v>1</v>
      </c>
      <c r="F143" s="7" t="str">
        <f aca="false">IF(E143=1, "Favorable", IF(E143=2, "Défavorable", "Ne se prononce pas"))</f>
        <v>Favorable</v>
      </c>
    </row>
    <row r="144" customFormat="false" ht="15" hidden="false" customHeight="false" outlineLevel="0" collapsed="false">
      <c r="A144" s="7" t="n">
        <f aca="false">A143+1</f>
        <v>143</v>
      </c>
      <c r="B144" s="7" t="n">
        <f aca="false">RANDBETWEEN(30,50)</f>
        <v>32</v>
      </c>
      <c r="C144" s="7" t="n">
        <f aca="false">RANDBETWEEN(0,1)</f>
        <v>0</v>
      </c>
      <c r="D144" s="7" t="str">
        <f aca="false">IF(C144=0, "Homme", "Femme")</f>
        <v>Homme</v>
      </c>
      <c r="E144" s="7" t="n">
        <f aca="false">RANDBETWEEN(1,3)</f>
        <v>2</v>
      </c>
      <c r="F144" s="7" t="str">
        <f aca="false">IF(E144=1, "Favorable", IF(E144=2, "Défavorable", "Ne se prononce pas"))</f>
        <v>Défavorable</v>
      </c>
    </row>
    <row r="145" customFormat="false" ht="15" hidden="false" customHeight="false" outlineLevel="0" collapsed="false">
      <c r="A145" s="7" t="n">
        <f aca="false">A144+1</f>
        <v>144</v>
      </c>
      <c r="B145" s="7" t="n">
        <f aca="false">RANDBETWEEN(30,50)</f>
        <v>35</v>
      </c>
      <c r="C145" s="7" t="n">
        <f aca="false">RANDBETWEEN(0,1)</f>
        <v>1</v>
      </c>
      <c r="D145" s="7" t="str">
        <f aca="false">IF(C145=0, "Homme", "Femme")</f>
        <v>Femme</v>
      </c>
      <c r="E145" s="7" t="n">
        <f aca="false">RANDBETWEEN(1,3)</f>
        <v>2</v>
      </c>
      <c r="F145" s="7" t="str">
        <f aca="false">IF(E145=1, "Favorable", IF(E145=2, "Défavorable", "Ne se prononce pas"))</f>
        <v>Défavorable</v>
      </c>
    </row>
    <row r="146" customFormat="false" ht="15" hidden="false" customHeight="false" outlineLevel="0" collapsed="false">
      <c r="A146" s="7" t="n">
        <f aca="false">A145+1</f>
        <v>145</v>
      </c>
      <c r="B146" s="7" t="n">
        <f aca="false">RANDBETWEEN(30,50)</f>
        <v>38</v>
      </c>
      <c r="C146" s="7" t="n">
        <f aca="false">RANDBETWEEN(0,1)</f>
        <v>1</v>
      </c>
      <c r="D146" s="7" t="str">
        <f aca="false">IF(C146=0, "Homme", "Femme")</f>
        <v>Femme</v>
      </c>
      <c r="E146" s="7" t="n">
        <f aca="false">RANDBETWEEN(1,3)</f>
        <v>2</v>
      </c>
      <c r="F146" s="7" t="str">
        <f aca="false">IF(E146=1, "Favorable", IF(E146=2, "Défavorable", "Ne se prononce pas"))</f>
        <v>Défavorable</v>
      </c>
    </row>
    <row r="147" customFormat="false" ht="15" hidden="false" customHeight="false" outlineLevel="0" collapsed="false">
      <c r="A147" s="7" t="n">
        <f aca="false">A146+1</f>
        <v>146</v>
      </c>
      <c r="B147" s="7" t="n">
        <f aca="false">RANDBETWEEN(30,50)</f>
        <v>48</v>
      </c>
      <c r="C147" s="7" t="n">
        <f aca="false">RANDBETWEEN(0,1)</f>
        <v>0</v>
      </c>
      <c r="D147" s="7" t="str">
        <f aca="false">IF(C147=0, "Homme", "Femme")</f>
        <v>Homme</v>
      </c>
      <c r="E147" s="7" t="n">
        <f aca="false">RANDBETWEEN(1,3)</f>
        <v>2</v>
      </c>
      <c r="F147" s="7" t="str">
        <f aca="false">IF(E147=1, "Favorable", IF(E147=2, "Défavorable", "Ne se prononce pas"))</f>
        <v>Défavorable</v>
      </c>
    </row>
    <row r="148" customFormat="false" ht="15" hidden="false" customHeight="false" outlineLevel="0" collapsed="false">
      <c r="A148" s="7" t="n">
        <f aca="false">A147+1</f>
        <v>147</v>
      </c>
      <c r="B148" s="7" t="n">
        <f aca="false">RANDBETWEEN(30,50)</f>
        <v>38</v>
      </c>
      <c r="C148" s="7" t="n">
        <f aca="false">RANDBETWEEN(0,1)</f>
        <v>1</v>
      </c>
      <c r="D148" s="7" t="str">
        <f aca="false">IF(C148=0, "Homme", "Femme")</f>
        <v>Femme</v>
      </c>
      <c r="E148" s="7" t="n">
        <f aca="false">RANDBETWEEN(1,3)</f>
        <v>3</v>
      </c>
      <c r="F148" s="7" t="str">
        <f aca="false">IF(E148=1, "Favorable", IF(E148=2, "Défavorable", "Ne se prononce pas"))</f>
        <v>Ne se prononce pas</v>
      </c>
    </row>
    <row r="149" customFormat="false" ht="15" hidden="false" customHeight="false" outlineLevel="0" collapsed="false">
      <c r="A149" s="7" t="n">
        <f aca="false">A148+1</f>
        <v>148</v>
      </c>
      <c r="B149" s="7" t="n">
        <f aca="false">RANDBETWEEN(30,50)</f>
        <v>37</v>
      </c>
      <c r="C149" s="7" t="n">
        <f aca="false">RANDBETWEEN(0,1)</f>
        <v>1</v>
      </c>
      <c r="D149" s="7" t="str">
        <f aca="false">IF(C149=0, "Homme", "Femme")</f>
        <v>Femme</v>
      </c>
      <c r="E149" s="7" t="n">
        <f aca="false">RANDBETWEEN(1,3)</f>
        <v>2</v>
      </c>
      <c r="F149" s="7" t="str">
        <f aca="false">IF(E149=1, "Favorable", IF(E149=2, "Défavorable", "Ne se prononce pas"))</f>
        <v>Défavorable</v>
      </c>
    </row>
    <row r="150" customFormat="false" ht="15" hidden="false" customHeight="false" outlineLevel="0" collapsed="false">
      <c r="A150" s="7" t="n">
        <f aca="false">A149+1</f>
        <v>149</v>
      </c>
      <c r="B150" s="7" t="n">
        <f aca="false">RANDBETWEEN(30,50)</f>
        <v>49</v>
      </c>
      <c r="C150" s="7" t="n">
        <f aca="false">RANDBETWEEN(0,1)</f>
        <v>1</v>
      </c>
      <c r="D150" s="7" t="str">
        <f aca="false">IF(C150=0, "Homme", "Femme")</f>
        <v>Femme</v>
      </c>
      <c r="E150" s="7" t="n">
        <f aca="false">RANDBETWEEN(1,3)</f>
        <v>2</v>
      </c>
      <c r="F150" s="7" t="str">
        <f aca="false">IF(E150=1, "Favorable", IF(E150=2, "Défavorable", "Ne se prononce pas"))</f>
        <v>Défavorable</v>
      </c>
    </row>
    <row r="151" customFormat="false" ht="15" hidden="false" customHeight="false" outlineLevel="0" collapsed="false">
      <c r="A151" s="7" t="n">
        <f aca="false">A150+1</f>
        <v>150</v>
      </c>
      <c r="B151" s="7" t="n">
        <f aca="false">RANDBETWEEN(30,50)</f>
        <v>47</v>
      </c>
      <c r="C151" s="7" t="n">
        <f aca="false">RANDBETWEEN(0,1)</f>
        <v>0</v>
      </c>
      <c r="D151" s="7" t="str">
        <f aca="false">IF(C151=0, "Homme", "Femme")</f>
        <v>Homme</v>
      </c>
      <c r="E151" s="7" t="n">
        <f aca="false">RANDBETWEEN(1,3)</f>
        <v>1</v>
      </c>
      <c r="F151" s="7" t="str">
        <f aca="false">IF(E151=1, "Favorable", IF(E151=2, "Défavorable", "Ne se prononce pas"))</f>
        <v>Favorable</v>
      </c>
    </row>
    <row r="152" customFormat="false" ht="15" hidden="false" customHeight="false" outlineLevel="0" collapsed="false">
      <c r="A152" s="7" t="n">
        <f aca="false">A151+1</f>
        <v>151</v>
      </c>
      <c r="B152" s="7" t="n">
        <f aca="false">RANDBETWEEN(30,50)</f>
        <v>43</v>
      </c>
      <c r="C152" s="7" t="n">
        <f aca="false">RANDBETWEEN(0,1)</f>
        <v>1</v>
      </c>
      <c r="D152" s="7" t="str">
        <f aca="false">IF(C152=0, "Homme", "Femme")</f>
        <v>Femme</v>
      </c>
      <c r="E152" s="7" t="n">
        <f aca="false">RANDBETWEEN(1,3)</f>
        <v>3</v>
      </c>
      <c r="F152" s="7" t="str">
        <f aca="false">IF(E152=1, "Favorable", IF(E152=2, "Défavorable", "Ne se prononce pas"))</f>
        <v>Ne se prononce pas</v>
      </c>
    </row>
    <row r="153" customFormat="false" ht="15" hidden="false" customHeight="false" outlineLevel="0" collapsed="false">
      <c r="A153" s="7" t="n">
        <f aca="false">A152+1</f>
        <v>152</v>
      </c>
      <c r="B153" s="7" t="n">
        <f aca="false">RANDBETWEEN(30,50)</f>
        <v>50</v>
      </c>
      <c r="C153" s="7" t="n">
        <f aca="false">RANDBETWEEN(0,1)</f>
        <v>1</v>
      </c>
      <c r="D153" s="7" t="str">
        <f aca="false">IF(C153=0, "Homme", "Femme")</f>
        <v>Femme</v>
      </c>
      <c r="E153" s="7" t="n">
        <f aca="false">RANDBETWEEN(1,3)</f>
        <v>1</v>
      </c>
      <c r="F153" s="7" t="str">
        <f aca="false">IF(E153=1, "Favorable", IF(E153=2, "Défavorable", "Ne se prononce pas"))</f>
        <v>Favorable</v>
      </c>
    </row>
    <row r="154" customFormat="false" ht="15" hidden="false" customHeight="false" outlineLevel="0" collapsed="false">
      <c r="A154" s="7" t="n">
        <f aca="false">A153+1</f>
        <v>153</v>
      </c>
      <c r="B154" s="7" t="n">
        <f aca="false">RANDBETWEEN(30,50)</f>
        <v>32</v>
      </c>
      <c r="C154" s="7" t="n">
        <f aca="false">RANDBETWEEN(0,1)</f>
        <v>0</v>
      </c>
      <c r="D154" s="7" t="str">
        <f aca="false">IF(C154=0, "Homme", "Femme")</f>
        <v>Homme</v>
      </c>
      <c r="E154" s="7" t="n">
        <f aca="false">RANDBETWEEN(1,3)</f>
        <v>2</v>
      </c>
      <c r="F154" s="7" t="str">
        <f aca="false">IF(E154=1, "Favorable", IF(E154=2, "Défavorable", "Ne se prononce pas"))</f>
        <v>Défavorable</v>
      </c>
    </row>
    <row r="155" customFormat="false" ht="15" hidden="false" customHeight="false" outlineLevel="0" collapsed="false">
      <c r="A155" s="7" t="n">
        <f aca="false">A154+1</f>
        <v>154</v>
      </c>
      <c r="B155" s="7" t="n">
        <f aca="false">RANDBETWEEN(30,50)</f>
        <v>34</v>
      </c>
      <c r="C155" s="7" t="n">
        <f aca="false">RANDBETWEEN(0,1)</f>
        <v>0</v>
      </c>
      <c r="D155" s="7" t="str">
        <f aca="false">IF(C155=0, "Homme", "Femme")</f>
        <v>Homme</v>
      </c>
      <c r="E155" s="7" t="n">
        <f aca="false">RANDBETWEEN(1,3)</f>
        <v>1</v>
      </c>
      <c r="F155" s="7" t="str">
        <f aca="false">IF(E155=1, "Favorable", IF(E155=2, "Défavorable", "Ne se prononce pas"))</f>
        <v>Favorable</v>
      </c>
    </row>
    <row r="156" customFormat="false" ht="15" hidden="false" customHeight="false" outlineLevel="0" collapsed="false">
      <c r="A156" s="7" t="n">
        <f aca="false">A155+1</f>
        <v>155</v>
      </c>
      <c r="B156" s="7" t="n">
        <f aca="false">RANDBETWEEN(30,50)</f>
        <v>37</v>
      </c>
      <c r="C156" s="7" t="n">
        <f aca="false">RANDBETWEEN(0,1)</f>
        <v>1</v>
      </c>
      <c r="D156" s="7" t="str">
        <f aca="false">IF(C156=0, "Homme", "Femme")</f>
        <v>Femme</v>
      </c>
      <c r="E156" s="7" t="n">
        <f aca="false">RANDBETWEEN(1,3)</f>
        <v>3</v>
      </c>
      <c r="F156" s="7" t="str">
        <f aca="false">IF(E156=1, "Favorable", IF(E156=2, "Défavorable", "Ne se prononce pas"))</f>
        <v>Ne se prononce pas</v>
      </c>
    </row>
    <row r="157" customFormat="false" ht="15" hidden="false" customHeight="false" outlineLevel="0" collapsed="false">
      <c r="A157" s="7" t="n">
        <f aca="false">A156+1</f>
        <v>156</v>
      </c>
      <c r="B157" s="7" t="n">
        <f aca="false">RANDBETWEEN(30,50)</f>
        <v>43</v>
      </c>
      <c r="C157" s="7" t="n">
        <f aca="false">RANDBETWEEN(0,1)</f>
        <v>0</v>
      </c>
      <c r="D157" s="7" t="str">
        <f aca="false">IF(C157=0, "Homme", "Femme")</f>
        <v>Homme</v>
      </c>
      <c r="E157" s="7" t="n">
        <f aca="false">RANDBETWEEN(1,3)</f>
        <v>3</v>
      </c>
      <c r="F157" s="7" t="str">
        <f aca="false">IF(E157=1, "Favorable", IF(E157=2, "Défavorable", "Ne se prononce pas"))</f>
        <v>Ne se prononce pas</v>
      </c>
    </row>
    <row r="158" customFormat="false" ht="15" hidden="false" customHeight="false" outlineLevel="0" collapsed="false">
      <c r="A158" s="7" t="n">
        <f aca="false">A157+1</f>
        <v>157</v>
      </c>
      <c r="B158" s="7" t="n">
        <f aca="false">RANDBETWEEN(30,50)</f>
        <v>47</v>
      </c>
      <c r="C158" s="7" t="n">
        <f aca="false">RANDBETWEEN(0,1)</f>
        <v>0</v>
      </c>
      <c r="D158" s="7" t="str">
        <f aca="false">IF(C158=0, "Homme", "Femme")</f>
        <v>Homme</v>
      </c>
      <c r="E158" s="7" t="n">
        <f aca="false">RANDBETWEEN(1,3)</f>
        <v>2</v>
      </c>
      <c r="F158" s="7" t="str">
        <f aca="false">IF(E158=1, "Favorable", IF(E158=2, "Défavorable", "Ne se prononce pas"))</f>
        <v>Défavorable</v>
      </c>
    </row>
    <row r="159" customFormat="false" ht="15" hidden="false" customHeight="false" outlineLevel="0" collapsed="false">
      <c r="A159" s="7" t="n">
        <f aca="false">A158+1</f>
        <v>158</v>
      </c>
      <c r="B159" s="7" t="n">
        <f aca="false">RANDBETWEEN(30,50)</f>
        <v>47</v>
      </c>
      <c r="C159" s="7" t="n">
        <f aca="false">RANDBETWEEN(0,1)</f>
        <v>1</v>
      </c>
      <c r="D159" s="7" t="str">
        <f aca="false">IF(C159=0, "Homme", "Femme")</f>
        <v>Femme</v>
      </c>
      <c r="E159" s="7" t="n">
        <f aca="false">RANDBETWEEN(1,3)</f>
        <v>1</v>
      </c>
      <c r="F159" s="7" t="str">
        <f aca="false">IF(E159=1, "Favorable", IF(E159=2, "Défavorable", "Ne se prononce pas"))</f>
        <v>Favorable</v>
      </c>
    </row>
    <row r="160" customFormat="false" ht="15" hidden="false" customHeight="false" outlineLevel="0" collapsed="false">
      <c r="A160" s="7" t="n">
        <f aca="false">A159+1</f>
        <v>159</v>
      </c>
      <c r="B160" s="7" t="n">
        <f aca="false">RANDBETWEEN(30,50)</f>
        <v>36</v>
      </c>
      <c r="C160" s="7" t="n">
        <f aca="false">RANDBETWEEN(0,1)</f>
        <v>0</v>
      </c>
      <c r="D160" s="7" t="str">
        <f aca="false">IF(C160=0, "Homme", "Femme")</f>
        <v>Homme</v>
      </c>
      <c r="E160" s="7" t="n">
        <f aca="false">RANDBETWEEN(1,3)</f>
        <v>2</v>
      </c>
      <c r="F160" s="7" t="str">
        <f aca="false">IF(E160=1, "Favorable", IF(E160=2, "Défavorable", "Ne se prononce pas"))</f>
        <v>Défavorable</v>
      </c>
    </row>
    <row r="161" customFormat="false" ht="15" hidden="false" customHeight="false" outlineLevel="0" collapsed="false">
      <c r="A161" s="7" t="n">
        <f aca="false">A160+1</f>
        <v>160</v>
      </c>
      <c r="B161" s="7" t="n">
        <f aca="false">RANDBETWEEN(30,50)</f>
        <v>41</v>
      </c>
      <c r="C161" s="7" t="n">
        <f aca="false">RANDBETWEEN(0,1)</f>
        <v>1</v>
      </c>
      <c r="D161" s="7" t="str">
        <f aca="false">IF(C161=0, "Homme", "Femme")</f>
        <v>Femme</v>
      </c>
      <c r="E161" s="7" t="n">
        <f aca="false">RANDBETWEEN(1,3)</f>
        <v>2</v>
      </c>
      <c r="F161" s="7" t="str">
        <f aca="false">IF(E161=1, "Favorable", IF(E161=2, "Défavorable", "Ne se prononce pas"))</f>
        <v>Défavorable</v>
      </c>
    </row>
    <row r="162" customFormat="false" ht="15" hidden="false" customHeight="false" outlineLevel="0" collapsed="false">
      <c r="A162" s="7" t="n">
        <f aca="false">A161+1</f>
        <v>161</v>
      </c>
      <c r="B162" s="7" t="n">
        <f aca="false">RANDBETWEEN(30,50)</f>
        <v>39</v>
      </c>
      <c r="C162" s="7" t="n">
        <f aca="false">RANDBETWEEN(0,1)</f>
        <v>1</v>
      </c>
      <c r="D162" s="7" t="str">
        <f aca="false">IF(C162=0, "Homme", "Femme")</f>
        <v>Femme</v>
      </c>
      <c r="E162" s="7" t="n">
        <f aca="false">RANDBETWEEN(1,3)</f>
        <v>3</v>
      </c>
      <c r="F162" s="7" t="str">
        <f aca="false">IF(E162=1, "Favorable", IF(E162=2, "Défavorable", "Ne se prononce pas"))</f>
        <v>Ne se prononce pas</v>
      </c>
    </row>
    <row r="163" customFormat="false" ht="15" hidden="false" customHeight="false" outlineLevel="0" collapsed="false">
      <c r="A163" s="7" t="n">
        <f aca="false">A162+1</f>
        <v>162</v>
      </c>
      <c r="B163" s="7" t="n">
        <f aca="false">RANDBETWEEN(30,50)</f>
        <v>50</v>
      </c>
      <c r="C163" s="7" t="n">
        <f aca="false">RANDBETWEEN(0,1)</f>
        <v>1</v>
      </c>
      <c r="D163" s="7" t="str">
        <f aca="false">IF(C163=0, "Homme", "Femme")</f>
        <v>Femme</v>
      </c>
      <c r="E163" s="7" t="n">
        <f aca="false">RANDBETWEEN(1,3)</f>
        <v>1</v>
      </c>
      <c r="F163" s="7" t="str">
        <f aca="false">IF(E163=1, "Favorable", IF(E163=2, "Défavorable", "Ne se prononce pas"))</f>
        <v>Favorable</v>
      </c>
    </row>
    <row r="164" customFormat="false" ht="15" hidden="false" customHeight="false" outlineLevel="0" collapsed="false">
      <c r="A164" s="7" t="n">
        <f aca="false">A163+1</f>
        <v>163</v>
      </c>
      <c r="B164" s="7" t="n">
        <f aca="false">RANDBETWEEN(30,50)</f>
        <v>44</v>
      </c>
      <c r="C164" s="7" t="n">
        <f aca="false">RANDBETWEEN(0,1)</f>
        <v>0</v>
      </c>
      <c r="D164" s="7" t="str">
        <f aca="false">IF(C164=0, "Homme", "Femme")</f>
        <v>Homme</v>
      </c>
      <c r="E164" s="7" t="n">
        <f aca="false">RANDBETWEEN(1,3)</f>
        <v>2</v>
      </c>
      <c r="F164" s="7" t="str">
        <f aca="false">IF(E164=1, "Favorable", IF(E164=2, "Défavorable", "Ne se prononce pas"))</f>
        <v>Défavorable</v>
      </c>
    </row>
    <row r="165" customFormat="false" ht="15" hidden="false" customHeight="false" outlineLevel="0" collapsed="false">
      <c r="A165" s="7" t="n">
        <f aca="false">A164+1</f>
        <v>164</v>
      </c>
      <c r="B165" s="7" t="n">
        <f aca="false">RANDBETWEEN(30,50)</f>
        <v>47</v>
      </c>
      <c r="C165" s="7" t="n">
        <f aca="false">RANDBETWEEN(0,1)</f>
        <v>0</v>
      </c>
      <c r="D165" s="7" t="str">
        <f aca="false">IF(C165=0, "Homme", "Femme")</f>
        <v>Homme</v>
      </c>
      <c r="E165" s="7" t="n">
        <f aca="false">RANDBETWEEN(1,3)</f>
        <v>3</v>
      </c>
      <c r="F165" s="7" t="str">
        <f aca="false">IF(E165=1, "Favorable", IF(E165=2, "Défavorable", "Ne se prononce pas"))</f>
        <v>Ne se prononce pas</v>
      </c>
    </row>
    <row r="166" customFormat="false" ht="15" hidden="false" customHeight="false" outlineLevel="0" collapsed="false">
      <c r="A166" s="7" t="n">
        <f aca="false">A165+1</f>
        <v>165</v>
      </c>
      <c r="B166" s="7" t="n">
        <f aca="false">RANDBETWEEN(30,50)</f>
        <v>32</v>
      </c>
      <c r="C166" s="7" t="n">
        <f aca="false">RANDBETWEEN(0,1)</f>
        <v>0</v>
      </c>
      <c r="D166" s="7" t="str">
        <f aca="false">IF(C166=0, "Homme", "Femme")</f>
        <v>Homme</v>
      </c>
      <c r="E166" s="7" t="n">
        <f aca="false">RANDBETWEEN(1,3)</f>
        <v>3</v>
      </c>
      <c r="F166" s="7" t="str">
        <f aca="false">IF(E166=1, "Favorable", IF(E166=2, "Défavorable", "Ne se prononce pas"))</f>
        <v>Ne se prononce pas</v>
      </c>
    </row>
    <row r="167" customFormat="false" ht="15" hidden="false" customHeight="false" outlineLevel="0" collapsed="false">
      <c r="A167" s="7" t="n">
        <f aca="false">A166+1</f>
        <v>166</v>
      </c>
      <c r="B167" s="7" t="n">
        <f aca="false">RANDBETWEEN(30,50)</f>
        <v>41</v>
      </c>
      <c r="C167" s="7" t="n">
        <f aca="false">RANDBETWEEN(0,1)</f>
        <v>1</v>
      </c>
      <c r="D167" s="7" t="str">
        <f aca="false">IF(C167=0, "Homme", "Femme")</f>
        <v>Femme</v>
      </c>
      <c r="E167" s="7" t="n">
        <f aca="false">RANDBETWEEN(1,3)</f>
        <v>3</v>
      </c>
      <c r="F167" s="7" t="str">
        <f aca="false">IF(E167=1, "Favorable", IF(E167=2, "Défavorable", "Ne se prononce pas"))</f>
        <v>Ne se prononce pas</v>
      </c>
    </row>
    <row r="168" customFormat="false" ht="15" hidden="false" customHeight="false" outlineLevel="0" collapsed="false">
      <c r="A168" s="7" t="n">
        <f aca="false">A167+1</f>
        <v>167</v>
      </c>
      <c r="B168" s="7" t="n">
        <f aca="false">RANDBETWEEN(30,50)</f>
        <v>31</v>
      </c>
      <c r="C168" s="7" t="n">
        <f aca="false">RANDBETWEEN(0,1)</f>
        <v>0</v>
      </c>
      <c r="D168" s="7" t="str">
        <f aca="false">IF(C168=0, "Homme", "Femme")</f>
        <v>Homme</v>
      </c>
      <c r="E168" s="7" t="n">
        <f aca="false">RANDBETWEEN(1,3)</f>
        <v>3</v>
      </c>
      <c r="F168" s="7" t="str">
        <f aca="false">IF(E168=1, "Favorable", IF(E168=2, "Défavorable", "Ne se prononce pas"))</f>
        <v>Ne se prononce pas</v>
      </c>
    </row>
    <row r="169" customFormat="false" ht="15" hidden="false" customHeight="false" outlineLevel="0" collapsed="false">
      <c r="A169" s="7" t="n">
        <f aca="false">A168+1</f>
        <v>168</v>
      </c>
      <c r="B169" s="7" t="n">
        <f aca="false">RANDBETWEEN(30,50)</f>
        <v>45</v>
      </c>
      <c r="C169" s="7" t="n">
        <f aca="false">RANDBETWEEN(0,1)</f>
        <v>1</v>
      </c>
      <c r="D169" s="7" t="str">
        <f aca="false">IF(C169=0, "Homme", "Femme")</f>
        <v>Femme</v>
      </c>
      <c r="E169" s="7" t="n">
        <f aca="false">RANDBETWEEN(1,3)</f>
        <v>3</v>
      </c>
      <c r="F169" s="7" t="str">
        <f aca="false">IF(E169=1, "Favorable", IF(E169=2, "Défavorable", "Ne se prononce pas"))</f>
        <v>Ne se prononce pas</v>
      </c>
    </row>
    <row r="170" customFormat="false" ht="15" hidden="false" customHeight="false" outlineLevel="0" collapsed="false">
      <c r="A170" s="7" t="n">
        <f aca="false">A169+1</f>
        <v>169</v>
      </c>
      <c r="B170" s="7" t="n">
        <f aca="false">RANDBETWEEN(30,50)</f>
        <v>37</v>
      </c>
      <c r="C170" s="7" t="n">
        <f aca="false">RANDBETWEEN(0,1)</f>
        <v>0</v>
      </c>
      <c r="D170" s="7" t="str">
        <f aca="false">IF(C170=0, "Homme", "Femme")</f>
        <v>Homme</v>
      </c>
      <c r="E170" s="7" t="n">
        <f aca="false">RANDBETWEEN(1,3)</f>
        <v>3</v>
      </c>
      <c r="F170" s="7" t="str">
        <f aca="false">IF(E170=1, "Favorable", IF(E170=2, "Défavorable", "Ne se prononce pas"))</f>
        <v>Ne se prononce pas</v>
      </c>
    </row>
    <row r="171" customFormat="false" ht="15" hidden="false" customHeight="false" outlineLevel="0" collapsed="false">
      <c r="A171" s="7" t="n">
        <f aca="false">A170+1</f>
        <v>170</v>
      </c>
      <c r="B171" s="7" t="n">
        <f aca="false">RANDBETWEEN(30,50)</f>
        <v>39</v>
      </c>
      <c r="C171" s="7" t="n">
        <f aca="false">RANDBETWEEN(0,1)</f>
        <v>0</v>
      </c>
      <c r="D171" s="7" t="str">
        <f aca="false">IF(C171=0, "Homme", "Femme")</f>
        <v>Homme</v>
      </c>
      <c r="E171" s="7" t="n">
        <f aca="false">RANDBETWEEN(1,3)</f>
        <v>2</v>
      </c>
      <c r="F171" s="7" t="str">
        <f aca="false">IF(E171=1, "Favorable", IF(E171=2, "Défavorable", "Ne se prononce pas"))</f>
        <v>Défavorable</v>
      </c>
    </row>
    <row r="172" customFormat="false" ht="15" hidden="false" customHeight="false" outlineLevel="0" collapsed="false">
      <c r="A172" s="7" t="n">
        <f aca="false">A171+1</f>
        <v>171</v>
      </c>
      <c r="B172" s="7" t="n">
        <f aca="false">RANDBETWEEN(30,50)</f>
        <v>39</v>
      </c>
      <c r="C172" s="7" t="n">
        <f aca="false">RANDBETWEEN(0,1)</f>
        <v>1</v>
      </c>
      <c r="D172" s="7" t="str">
        <f aca="false">IF(C172=0, "Homme", "Femme")</f>
        <v>Femme</v>
      </c>
      <c r="E172" s="7" t="n">
        <f aca="false">RANDBETWEEN(1,3)</f>
        <v>2</v>
      </c>
      <c r="F172" s="7" t="str">
        <f aca="false">IF(E172=1, "Favorable", IF(E172=2, "Défavorable", "Ne se prononce pas"))</f>
        <v>Défavorable</v>
      </c>
    </row>
    <row r="173" customFormat="false" ht="15" hidden="false" customHeight="false" outlineLevel="0" collapsed="false">
      <c r="A173" s="7" t="n">
        <f aca="false">A172+1</f>
        <v>172</v>
      </c>
      <c r="B173" s="7" t="n">
        <f aca="false">RANDBETWEEN(30,50)</f>
        <v>41</v>
      </c>
      <c r="C173" s="7" t="n">
        <f aca="false">RANDBETWEEN(0,1)</f>
        <v>0</v>
      </c>
      <c r="D173" s="7" t="str">
        <f aca="false">IF(C173=0, "Homme", "Femme")</f>
        <v>Homme</v>
      </c>
      <c r="E173" s="7" t="n">
        <f aca="false">RANDBETWEEN(1,3)</f>
        <v>2</v>
      </c>
      <c r="F173" s="7" t="str">
        <f aca="false">IF(E173=1, "Favorable", IF(E173=2, "Défavorable", "Ne se prononce pas"))</f>
        <v>Défavorable</v>
      </c>
    </row>
    <row r="174" customFormat="false" ht="15" hidden="false" customHeight="false" outlineLevel="0" collapsed="false">
      <c r="A174" s="7" t="n">
        <f aca="false">A173+1</f>
        <v>173</v>
      </c>
      <c r="B174" s="7" t="n">
        <f aca="false">RANDBETWEEN(30,50)</f>
        <v>42</v>
      </c>
      <c r="C174" s="7" t="n">
        <f aca="false">RANDBETWEEN(0,1)</f>
        <v>0</v>
      </c>
      <c r="D174" s="7" t="str">
        <f aca="false">IF(C174=0, "Homme", "Femme")</f>
        <v>Homme</v>
      </c>
      <c r="E174" s="7" t="n">
        <f aca="false">RANDBETWEEN(1,3)</f>
        <v>3</v>
      </c>
      <c r="F174" s="7" t="str">
        <f aca="false">IF(E174=1, "Favorable", IF(E174=2, "Défavorable", "Ne se prononce pas"))</f>
        <v>Ne se prononce pas</v>
      </c>
    </row>
    <row r="175" customFormat="false" ht="15" hidden="false" customHeight="false" outlineLevel="0" collapsed="false">
      <c r="A175" s="7" t="n">
        <f aca="false">A174+1</f>
        <v>174</v>
      </c>
      <c r="B175" s="7" t="n">
        <f aca="false">RANDBETWEEN(30,50)</f>
        <v>32</v>
      </c>
      <c r="C175" s="7" t="n">
        <f aca="false">RANDBETWEEN(0,1)</f>
        <v>1</v>
      </c>
      <c r="D175" s="7" t="str">
        <f aca="false">IF(C175=0, "Homme", "Femme")</f>
        <v>Femme</v>
      </c>
      <c r="E175" s="7" t="n">
        <f aca="false">RANDBETWEEN(1,3)</f>
        <v>3</v>
      </c>
      <c r="F175" s="7" t="str">
        <f aca="false">IF(E175=1, "Favorable", IF(E175=2, "Défavorable", "Ne se prononce pas"))</f>
        <v>Ne se prononce pas</v>
      </c>
    </row>
    <row r="176" customFormat="false" ht="15" hidden="false" customHeight="false" outlineLevel="0" collapsed="false">
      <c r="A176" s="7" t="n">
        <f aca="false">A175+1</f>
        <v>175</v>
      </c>
      <c r="B176" s="7" t="n">
        <f aca="false">RANDBETWEEN(30,50)</f>
        <v>33</v>
      </c>
      <c r="C176" s="7" t="n">
        <f aca="false">RANDBETWEEN(0,1)</f>
        <v>0</v>
      </c>
      <c r="D176" s="7" t="str">
        <f aca="false">IF(C176=0, "Homme", "Femme")</f>
        <v>Homme</v>
      </c>
      <c r="E176" s="7" t="n">
        <f aca="false">RANDBETWEEN(1,3)</f>
        <v>3</v>
      </c>
      <c r="F176" s="7" t="str">
        <f aca="false">IF(E176=1, "Favorable", IF(E176=2, "Défavorable", "Ne se prononce pas"))</f>
        <v>Ne se prononce pas</v>
      </c>
    </row>
    <row r="177" customFormat="false" ht="15" hidden="false" customHeight="false" outlineLevel="0" collapsed="false">
      <c r="A177" s="7" t="n">
        <f aca="false">A176+1</f>
        <v>176</v>
      </c>
      <c r="B177" s="7" t="n">
        <f aca="false">RANDBETWEEN(30,50)</f>
        <v>45</v>
      </c>
      <c r="C177" s="7" t="n">
        <f aca="false">RANDBETWEEN(0,1)</f>
        <v>0</v>
      </c>
      <c r="D177" s="7" t="str">
        <f aca="false">IF(C177=0, "Homme", "Femme")</f>
        <v>Homme</v>
      </c>
      <c r="E177" s="7" t="n">
        <f aca="false">RANDBETWEEN(1,3)</f>
        <v>2</v>
      </c>
      <c r="F177" s="7" t="str">
        <f aca="false">IF(E177=1, "Favorable", IF(E177=2, "Défavorable", "Ne se prononce pas"))</f>
        <v>Défavorable</v>
      </c>
    </row>
    <row r="178" customFormat="false" ht="15" hidden="false" customHeight="false" outlineLevel="0" collapsed="false">
      <c r="A178" s="7" t="n">
        <f aca="false">A177+1</f>
        <v>177</v>
      </c>
      <c r="B178" s="7" t="n">
        <f aca="false">RANDBETWEEN(30,50)</f>
        <v>48</v>
      </c>
      <c r="C178" s="7" t="n">
        <f aca="false">RANDBETWEEN(0,1)</f>
        <v>0</v>
      </c>
      <c r="D178" s="7" t="str">
        <f aca="false">IF(C178=0, "Homme", "Femme")</f>
        <v>Homme</v>
      </c>
      <c r="E178" s="7" t="n">
        <f aca="false">RANDBETWEEN(1,3)</f>
        <v>1</v>
      </c>
      <c r="F178" s="7" t="str">
        <f aca="false">IF(E178=1, "Favorable", IF(E178=2, "Défavorable", "Ne se prononce pas"))</f>
        <v>Favorable</v>
      </c>
    </row>
    <row r="179" customFormat="false" ht="15" hidden="false" customHeight="false" outlineLevel="0" collapsed="false">
      <c r="A179" s="7" t="n">
        <f aca="false">A178+1</f>
        <v>178</v>
      </c>
      <c r="B179" s="7" t="n">
        <f aca="false">RANDBETWEEN(30,50)</f>
        <v>46</v>
      </c>
      <c r="C179" s="7" t="n">
        <f aca="false">RANDBETWEEN(0,1)</f>
        <v>0</v>
      </c>
      <c r="D179" s="7" t="str">
        <f aca="false">IF(C179=0, "Homme", "Femme")</f>
        <v>Homme</v>
      </c>
      <c r="E179" s="7" t="n">
        <f aca="false">RANDBETWEEN(1,3)</f>
        <v>1</v>
      </c>
      <c r="F179" s="7" t="str">
        <f aca="false">IF(E179=1, "Favorable", IF(E179=2, "Défavorable", "Ne se prononce pas"))</f>
        <v>Favorable</v>
      </c>
    </row>
    <row r="180" customFormat="false" ht="15" hidden="false" customHeight="false" outlineLevel="0" collapsed="false">
      <c r="A180" s="7" t="n">
        <f aca="false">A179+1</f>
        <v>179</v>
      </c>
      <c r="B180" s="7" t="n">
        <f aca="false">RANDBETWEEN(30,50)</f>
        <v>39</v>
      </c>
      <c r="C180" s="7" t="n">
        <f aca="false">RANDBETWEEN(0,1)</f>
        <v>1</v>
      </c>
      <c r="D180" s="7" t="str">
        <f aca="false">IF(C180=0, "Homme", "Femme")</f>
        <v>Femme</v>
      </c>
      <c r="E180" s="7" t="n">
        <f aca="false">RANDBETWEEN(1,3)</f>
        <v>1</v>
      </c>
      <c r="F180" s="7" t="str">
        <f aca="false">IF(E180=1, "Favorable", IF(E180=2, "Défavorable", "Ne se prononce pas"))</f>
        <v>Favorable</v>
      </c>
    </row>
    <row r="181" customFormat="false" ht="15" hidden="false" customHeight="false" outlineLevel="0" collapsed="false">
      <c r="A181" s="7" t="n">
        <f aca="false">A180+1</f>
        <v>180</v>
      </c>
      <c r="B181" s="7" t="n">
        <f aca="false">RANDBETWEEN(30,50)</f>
        <v>41</v>
      </c>
      <c r="C181" s="7" t="n">
        <f aca="false">RANDBETWEEN(0,1)</f>
        <v>1</v>
      </c>
      <c r="D181" s="7" t="str">
        <f aca="false">IF(C181=0, "Homme", "Femme")</f>
        <v>Femme</v>
      </c>
      <c r="E181" s="7" t="n">
        <f aca="false">RANDBETWEEN(1,3)</f>
        <v>1</v>
      </c>
      <c r="F181" s="7" t="str">
        <f aca="false">IF(E181=1, "Favorable", IF(E181=2, "Défavorable", "Ne se prononce pas"))</f>
        <v>Favorable</v>
      </c>
    </row>
    <row r="182" customFormat="false" ht="15" hidden="false" customHeight="false" outlineLevel="0" collapsed="false">
      <c r="A182" s="7" t="n">
        <f aca="false">A181+1</f>
        <v>181</v>
      </c>
      <c r="B182" s="7" t="n">
        <f aca="false">RANDBETWEEN(30,50)</f>
        <v>39</v>
      </c>
      <c r="C182" s="7" t="n">
        <f aca="false">RANDBETWEEN(0,1)</f>
        <v>0</v>
      </c>
      <c r="D182" s="7" t="str">
        <f aca="false">IF(C182=0, "Homme", "Femme")</f>
        <v>Homme</v>
      </c>
      <c r="E182" s="7" t="n">
        <f aca="false">RANDBETWEEN(1,3)</f>
        <v>3</v>
      </c>
      <c r="F182" s="7" t="str">
        <f aca="false">IF(E182=1, "Favorable", IF(E182=2, "Défavorable", "Ne se prononce pas"))</f>
        <v>Ne se prononce pas</v>
      </c>
    </row>
    <row r="183" customFormat="false" ht="15" hidden="false" customHeight="false" outlineLevel="0" collapsed="false">
      <c r="A183" s="7" t="n">
        <f aca="false">A182+1</f>
        <v>182</v>
      </c>
      <c r="B183" s="7" t="n">
        <f aca="false">RANDBETWEEN(30,50)</f>
        <v>37</v>
      </c>
      <c r="C183" s="7" t="n">
        <f aca="false">RANDBETWEEN(0,1)</f>
        <v>0</v>
      </c>
      <c r="D183" s="7" t="str">
        <f aca="false">IF(C183=0, "Homme", "Femme")</f>
        <v>Homme</v>
      </c>
      <c r="E183" s="7" t="n">
        <f aca="false">RANDBETWEEN(1,3)</f>
        <v>2</v>
      </c>
      <c r="F183" s="7" t="str">
        <f aca="false">IF(E183=1, "Favorable", IF(E183=2, "Défavorable", "Ne se prononce pas"))</f>
        <v>Défavorable</v>
      </c>
    </row>
    <row r="184" customFormat="false" ht="15" hidden="false" customHeight="false" outlineLevel="0" collapsed="false">
      <c r="A184" s="7" t="n">
        <f aca="false">A183+1</f>
        <v>183</v>
      </c>
      <c r="B184" s="7" t="n">
        <f aca="false">RANDBETWEEN(30,50)</f>
        <v>36</v>
      </c>
      <c r="C184" s="7" t="n">
        <f aca="false">RANDBETWEEN(0,1)</f>
        <v>0</v>
      </c>
      <c r="D184" s="7" t="str">
        <f aca="false">IF(C184=0, "Homme", "Femme")</f>
        <v>Homme</v>
      </c>
      <c r="E184" s="7" t="n">
        <f aca="false">RANDBETWEEN(1,3)</f>
        <v>1</v>
      </c>
      <c r="F184" s="7" t="str">
        <f aca="false">IF(E184=1, "Favorable", IF(E184=2, "Défavorable", "Ne se prononce pas"))</f>
        <v>Favorable</v>
      </c>
    </row>
    <row r="185" customFormat="false" ht="15" hidden="false" customHeight="false" outlineLevel="0" collapsed="false">
      <c r="A185" s="7" t="n">
        <f aca="false">A184+1</f>
        <v>184</v>
      </c>
      <c r="B185" s="7" t="n">
        <f aca="false">RANDBETWEEN(30,50)</f>
        <v>42</v>
      </c>
      <c r="C185" s="7" t="n">
        <f aca="false">RANDBETWEEN(0,1)</f>
        <v>1</v>
      </c>
      <c r="D185" s="7" t="str">
        <f aca="false">IF(C185=0, "Homme", "Femme")</f>
        <v>Femme</v>
      </c>
      <c r="E185" s="7" t="n">
        <f aca="false">RANDBETWEEN(1,3)</f>
        <v>2</v>
      </c>
      <c r="F185" s="7" t="str">
        <f aca="false">IF(E185=1, "Favorable", IF(E185=2, "Défavorable", "Ne se prononce pas"))</f>
        <v>Défavorable</v>
      </c>
    </row>
    <row r="186" customFormat="false" ht="15" hidden="false" customHeight="false" outlineLevel="0" collapsed="false">
      <c r="A186" s="7" t="n">
        <f aca="false">A185+1</f>
        <v>185</v>
      </c>
      <c r="B186" s="7" t="n">
        <f aca="false">RANDBETWEEN(30,50)</f>
        <v>38</v>
      </c>
      <c r="C186" s="7" t="n">
        <f aca="false">RANDBETWEEN(0,1)</f>
        <v>1</v>
      </c>
      <c r="D186" s="7" t="str">
        <f aca="false">IF(C186=0, "Homme", "Femme")</f>
        <v>Femme</v>
      </c>
      <c r="E186" s="7" t="n">
        <f aca="false">RANDBETWEEN(1,3)</f>
        <v>1</v>
      </c>
      <c r="F186" s="7" t="str">
        <f aca="false">IF(E186=1, "Favorable", IF(E186=2, "Défavorable", "Ne se prononce pas"))</f>
        <v>Favorable</v>
      </c>
    </row>
    <row r="187" customFormat="false" ht="15" hidden="false" customHeight="false" outlineLevel="0" collapsed="false">
      <c r="A187" s="7" t="n">
        <f aca="false">A186+1</f>
        <v>186</v>
      </c>
      <c r="B187" s="7" t="n">
        <f aca="false">RANDBETWEEN(30,50)</f>
        <v>41</v>
      </c>
      <c r="C187" s="7" t="n">
        <f aca="false">RANDBETWEEN(0,1)</f>
        <v>0</v>
      </c>
      <c r="D187" s="7" t="str">
        <f aca="false">IF(C187=0, "Homme", "Femme")</f>
        <v>Homme</v>
      </c>
      <c r="E187" s="7" t="n">
        <f aca="false">RANDBETWEEN(1,3)</f>
        <v>2</v>
      </c>
      <c r="F187" s="7" t="str">
        <f aca="false">IF(E187=1, "Favorable", IF(E187=2, "Défavorable", "Ne se prononce pas"))</f>
        <v>Défavorable</v>
      </c>
    </row>
    <row r="188" customFormat="false" ht="15" hidden="false" customHeight="false" outlineLevel="0" collapsed="false">
      <c r="A188" s="7" t="n">
        <f aca="false">A187+1</f>
        <v>187</v>
      </c>
      <c r="B188" s="7" t="n">
        <f aca="false">RANDBETWEEN(30,50)</f>
        <v>37</v>
      </c>
      <c r="C188" s="7" t="n">
        <f aca="false">RANDBETWEEN(0,1)</f>
        <v>1</v>
      </c>
      <c r="D188" s="7" t="str">
        <f aca="false">IF(C188=0, "Homme", "Femme")</f>
        <v>Femme</v>
      </c>
      <c r="E188" s="7" t="n">
        <f aca="false">RANDBETWEEN(1,3)</f>
        <v>1</v>
      </c>
      <c r="F188" s="7" t="str">
        <f aca="false">IF(E188=1, "Favorable", IF(E188=2, "Défavorable", "Ne se prononce pas"))</f>
        <v>Favorable</v>
      </c>
    </row>
    <row r="189" customFormat="false" ht="15" hidden="false" customHeight="false" outlineLevel="0" collapsed="false">
      <c r="A189" s="7" t="n">
        <f aca="false">A188+1</f>
        <v>188</v>
      </c>
      <c r="B189" s="7" t="n">
        <f aca="false">RANDBETWEEN(30,50)</f>
        <v>37</v>
      </c>
      <c r="C189" s="7" t="n">
        <f aca="false">RANDBETWEEN(0,1)</f>
        <v>1</v>
      </c>
      <c r="D189" s="7" t="str">
        <f aca="false">IF(C189=0, "Homme", "Femme")</f>
        <v>Femme</v>
      </c>
      <c r="E189" s="7" t="n">
        <f aca="false">RANDBETWEEN(1,3)</f>
        <v>2</v>
      </c>
      <c r="F189" s="7" t="str">
        <f aca="false">IF(E189=1, "Favorable", IF(E189=2, "Défavorable", "Ne se prononce pas"))</f>
        <v>Défavorable</v>
      </c>
    </row>
    <row r="190" customFormat="false" ht="15" hidden="false" customHeight="false" outlineLevel="0" collapsed="false">
      <c r="A190" s="7" t="n">
        <f aca="false">A189+1</f>
        <v>189</v>
      </c>
      <c r="B190" s="7" t="n">
        <f aca="false">RANDBETWEEN(30,50)</f>
        <v>49</v>
      </c>
      <c r="C190" s="7" t="n">
        <f aca="false">RANDBETWEEN(0,1)</f>
        <v>1</v>
      </c>
      <c r="D190" s="7" t="str">
        <f aca="false">IF(C190=0, "Homme", "Femme")</f>
        <v>Femme</v>
      </c>
      <c r="E190" s="7" t="n">
        <f aca="false">RANDBETWEEN(1,3)</f>
        <v>3</v>
      </c>
      <c r="F190" s="7" t="str">
        <f aca="false">IF(E190=1, "Favorable", IF(E190=2, "Défavorable", "Ne se prononce pas"))</f>
        <v>Ne se prononce pas</v>
      </c>
    </row>
    <row r="191" customFormat="false" ht="15" hidden="false" customHeight="false" outlineLevel="0" collapsed="false">
      <c r="A191" s="7" t="n">
        <f aca="false">A190+1</f>
        <v>190</v>
      </c>
      <c r="B191" s="7" t="n">
        <f aca="false">RANDBETWEEN(30,50)</f>
        <v>43</v>
      </c>
      <c r="C191" s="7" t="n">
        <f aca="false">RANDBETWEEN(0,1)</f>
        <v>1</v>
      </c>
      <c r="D191" s="7" t="str">
        <f aca="false">IF(C191=0, "Homme", "Femme")</f>
        <v>Femme</v>
      </c>
      <c r="E191" s="7" t="n">
        <f aca="false">RANDBETWEEN(1,3)</f>
        <v>2</v>
      </c>
      <c r="F191" s="7" t="str">
        <f aca="false">IF(E191=1, "Favorable", IF(E191=2, "Défavorable", "Ne se prononce pas"))</f>
        <v>Défavorable</v>
      </c>
    </row>
    <row r="192" customFormat="false" ht="15" hidden="false" customHeight="false" outlineLevel="0" collapsed="false">
      <c r="A192" s="7" t="n">
        <f aca="false">A191+1</f>
        <v>191</v>
      </c>
      <c r="B192" s="7" t="n">
        <f aca="false">RANDBETWEEN(30,50)</f>
        <v>34</v>
      </c>
      <c r="C192" s="7" t="n">
        <f aca="false">RANDBETWEEN(0,1)</f>
        <v>0</v>
      </c>
      <c r="D192" s="7" t="str">
        <f aca="false">IF(C192=0, "Homme", "Femme")</f>
        <v>Homme</v>
      </c>
      <c r="E192" s="7" t="n">
        <f aca="false">RANDBETWEEN(1,3)</f>
        <v>3</v>
      </c>
      <c r="F192" s="7" t="str">
        <f aca="false">IF(E192=1, "Favorable", IF(E192=2, "Défavorable", "Ne se prononce pas"))</f>
        <v>Ne se prononce pas</v>
      </c>
    </row>
    <row r="193" customFormat="false" ht="15" hidden="false" customHeight="false" outlineLevel="0" collapsed="false">
      <c r="A193" s="7" t="n">
        <f aca="false">A192+1</f>
        <v>192</v>
      </c>
      <c r="B193" s="7" t="n">
        <f aca="false">RANDBETWEEN(30,50)</f>
        <v>42</v>
      </c>
      <c r="C193" s="7" t="n">
        <f aca="false">RANDBETWEEN(0,1)</f>
        <v>0</v>
      </c>
      <c r="D193" s="7" t="str">
        <f aca="false">IF(C193=0, "Homme", "Femme")</f>
        <v>Homme</v>
      </c>
      <c r="E193" s="7" t="n">
        <f aca="false">RANDBETWEEN(1,3)</f>
        <v>3</v>
      </c>
      <c r="F193" s="7" t="str">
        <f aca="false">IF(E193=1, "Favorable", IF(E193=2, "Défavorable", "Ne se prononce pas"))</f>
        <v>Ne se prononce pas</v>
      </c>
    </row>
    <row r="194" customFormat="false" ht="15" hidden="false" customHeight="false" outlineLevel="0" collapsed="false">
      <c r="A194" s="7" t="n">
        <f aca="false">A193+1</f>
        <v>193</v>
      </c>
      <c r="B194" s="7" t="n">
        <f aca="false">RANDBETWEEN(30,50)</f>
        <v>49</v>
      </c>
      <c r="C194" s="7" t="n">
        <f aca="false">RANDBETWEEN(0,1)</f>
        <v>0</v>
      </c>
      <c r="D194" s="7" t="str">
        <f aca="false">IF(C194=0, "Homme", "Femme")</f>
        <v>Homme</v>
      </c>
      <c r="E194" s="7" t="n">
        <f aca="false">RANDBETWEEN(1,3)</f>
        <v>3</v>
      </c>
      <c r="F194" s="7" t="str">
        <f aca="false">IF(E194=1, "Favorable", IF(E194=2, "Défavorable", "Ne se prononce pas"))</f>
        <v>Ne se prononce pas</v>
      </c>
    </row>
    <row r="195" customFormat="false" ht="15" hidden="false" customHeight="false" outlineLevel="0" collapsed="false">
      <c r="A195" s="7" t="n">
        <f aca="false">A194+1</f>
        <v>194</v>
      </c>
      <c r="B195" s="7" t="n">
        <f aca="false">RANDBETWEEN(30,50)</f>
        <v>36</v>
      </c>
      <c r="C195" s="7" t="n">
        <f aca="false">RANDBETWEEN(0,1)</f>
        <v>1</v>
      </c>
      <c r="D195" s="7" t="str">
        <f aca="false">IF(C195=0, "Homme", "Femme")</f>
        <v>Femme</v>
      </c>
      <c r="E195" s="7" t="n">
        <f aca="false">RANDBETWEEN(1,3)</f>
        <v>3</v>
      </c>
      <c r="F195" s="7" t="str">
        <f aca="false">IF(E195=1, "Favorable", IF(E195=2, "Défavorable", "Ne se prononce pas"))</f>
        <v>Ne se prononce pas</v>
      </c>
    </row>
    <row r="196" customFormat="false" ht="15" hidden="false" customHeight="false" outlineLevel="0" collapsed="false">
      <c r="A196" s="7" t="n">
        <f aca="false">A195+1</f>
        <v>195</v>
      </c>
      <c r="B196" s="7" t="n">
        <f aca="false">RANDBETWEEN(30,50)</f>
        <v>32</v>
      </c>
      <c r="C196" s="7" t="n">
        <f aca="false">RANDBETWEEN(0,1)</f>
        <v>1</v>
      </c>
      <c r="D196" s="7" t="str">
        <f aca="false">IF(C196=0, "Homme", "Femme")</f>
        <v>Femme</v>
      </c>
      <c r="E196" s="7" t="n">
        <f aca="false">RANDBETWEEN(1,3)</f>
        <v>2</v>
      </c>
      <c r="F196" s="7" t="str">
        <f aca="false">IF(E196=1, "Favorable", IF(E196=2, "Défavorable", "Ne se prononce pas"))</f>
        <v>Défavorable</v>
      </c>
    </row>
    <row r="197" customFormat="false" ht="15" hidden="false" customHeight="false" outlineLevel="0" collapsed="false">
      <c r="A197" s="7" t="n">
        <f aca="false">A196+1</f>
        <v>196</v>
      </c>
      <c r="B197" s="7" t="n">
        <f aca="false">RANDBETWEEN(30,50)</f>
        <v>42</v>
      </c>
      <c r="C197" s="7" t="n">
        <f aca="false">RANDBETWEEN(0,1)</f>
        <v>0</v>
      </c>
      <c r="D197" s="7" t="str">
        <f aca="false">IF(C197=0, "Homme", "Femme")</f>
        <v>Homme</v>
      </c>
      <c r="E197" s="7" t="n">
        <f aca="false">RANDBETWEEN(1,3)</f>
        <v>1</v>
      </c>
      <c r="F197" s="7" t="str">
        <f aca="false">IF(E197=1, "Favorable", IF(E197=2, "Défavorable", "Ne se prononce pas"))</f>
        <v>Favorable</v>
      </c>
    </row>
    <row r="198" customFormat="false" ht="15" hidden="false" customHeight="false" outlineLevel="0" collapsed="false">
      <c r="A198" s="7" t="n">
        <f aca="false">A197+1</f>
        <v>197</v>
      </c>
      <c r="B198" s="7" t="n">
        <f aca="false">RANDBETWEEN(30,50)</f>
        <v>50</v>
      </c>
      <c r="C198" s="7" t="n">
        <f aca="false">RANDBETWEEN(0,1)</f>
        <v>1</v>
      </c>
      <c r="D198" s="7" t="str">
        <f aca="false">IF(C198=0, "Homme", "Femme")</f>
        <v>Femme</v>
      </c>
      <c r="E198" s="7" t="n">
        <f aca="false">RANDBETWEEN(1,3)</f>
        <v>3</v>
      </c>
      <c r="F198" s="7" t="str">
        <f aca="false">IF(E198=1, "Favorable", IF(E198=2, "Défavorable", "Ne se prononce pas"))</f>
        <v>Ne se prononce pas</v>
      </c>
    </row>
    <row r="199" customFormat="false" ht="15" hidden="false" customHeight="false" outlineLevel="0" collapsed="false">
      <c r="A199" s="7" t="n">
        <f aca="false">A198+1</f>
        <v>198</v>
      </c>
      <c r="B199" s="7" t="n">
        <f aca="false">RANDBETWEEN(30,50)</f>
        <v>48</v>
      </c>
      <c r="C199" s="7" t="n">
        <f aca="false">RANDBETWEEN(0,1)</f>
        <v>0</v>
      </c>
      <c r="D199" s="7" t="str">
        <f aca="false">IF(C199=0, "Homme", "Femme")</f>
        <v>Homme</v>
      </c>
      <c r="E199" s="7" t="n">
        <f aca="false">RANDBETWEEN(1,3)</f>
        <v>1</v>
      </c>
      <c r="F199" s="7" t="str">
        <f aca="false">IF(E199=1, "Favorable", IF(E199=2, "Défavorable", "Ne se prononce pas"))</f>
        <v>Favorable</v>
      </c>
    </row>
    <row r="200" customFormat="false" ht="15" hidden="false" customHeight="false" outlineLevel="0" collapsed="false">
      <c r="A200" s="7" t="n">
        <f aca="false">A199+1</f>
        <v>199</v>
      </c>
      <c r="B200" s="7" t="n">
        <f aca="false">RANDBETWEEN(30,50)</f>
        <v>45</v>
      </c>
      <c r="C200" s="7" t="n">
        <f aca="false">RANDBETWEEN(0,1)</f>
        <v>0</v>
      </c>
      <c r="D200" s="7" t="str">
        <f aca="false">IF(C200=0, "Homme", "Femme")</f>
        <v>Homme</v>
      </c>
      <c r="E200" s="7" t="n">
        <f aca="false">RANDBETWEEN(1,3)</f>
        <v>1</v>
      </c>
      <c r="F200" s="7" t="str">
        <f aca="false">IF(E200=1, "Favorable", IF(E200=2, "Défavorable", "Ne se prononce pas"))</f>
        <v>Favorable</v>
      </c>
    </row>
    <row r="201" customFormat="false" ht="15" hidden="false" customHeight="false" outlineLevel="0" collapsed="false">
      <c r="A201" s="7" t="n">
        <f aca="false">A200+1</f>
        <v>200</v>
      </c>
      <c r="B201" s="7" t="n">
        <f aca="false">RANDBETWEEN(30,50)</f>
        <v>31</v>
      </c>
      <c r="C201" s="7" t="n">
        <f aca="false">RANDBETWEEN(0,1)</f>
        <v>1</v>
      </c>
      <c r="D201" s="7" t="str">
        <f aca="false">IF(C201=0, "Homme", "Femme")</f>
        <v>Femme</v>
      </c>
      <c r="E201" s="7" t="n">
        <f aca="false">RANDBETWEEN(1,3)</f>
        <v>3</v>
      </c>
      <c r="F201" s="7" t="str">
        <f aca="false">IF(E201=1, "Favorable", IF(E201=2, "Défavorable", "Ne se prononce pas"))</f>
        <v>Ne se prononce pas</v>
      </c>
    </row>
    <row r="202" customFormat="false" ht="15" hidden="false" customHeight="false" outlineLevel="0" collapsed="false">
      <c r="A202" s="7" t="n">
        <f aca="false">A201+1</f>
        <v>201</v>
      </c>
      <c r="B202" s="7" t="n">
        <f aca="false">RANDBETWEEN(30,50)</f>
        <v>40</v>
      </c>
      <c r="C202" s="7" t="n">
        <f aca="false">RANDBETWEEN(0,1)</f>
        <v>0</v>
      </c>
      <c r="D202" s="7" t="str">
        <f aca="false">IF(C202=0, "Homme", "Femme")</f>
        <v>Homme</v>
      </c>
      <c r="E202" s="7" t="n">
        <f aca="false">RANDBETWEEN(1,3)</f>
        <v>2</v>
      </c>
      <c r="F202" s="7" t="str">
        <f aca="false">IF(E202=1, "Favorable", IF(E202=2, "Défavorable", "Ne se prononce pas"))</f>
        <v>Défavorable</v>
      </c>
    </row>
    <row r="203" customFormat="false" ht="15" hidden="false" customHeight="false" outlineLevel="0" collapsed="false">
      <c r="A203" s="7" t="n">
        <f aca="false">A202+1</f>
        <v>202</v>
      </c>
      <c r="B203" s="7" t="n">
        <f aca="false">RANDBETWEEN(30,50)</f>
        <v>50</v>
      </c>
      <c r="C203" s="7" t="n">
        <f aca="false">RANDBETWEEN(0,1)</f>
        <v>0</v>
      </c>
      <c r="D203" s="7" t="str">
        <f aca="false">IF(C203=0, "Homme", "Femme")</f>
        <v>Homme</v>
      </c>
      <c r="E203" s="7" t="n">
        <f aca="false">RANDBETWEEN(1,3)</f>
        <v>2</v>
      </c>
      <c r="F203" s="7" t="str">
        <f aca="false">IF(E203=1, "Favorable", IF(E203=2, "Défavorable", "Ne se prononce pas"))</f>
        <v>Défavorable</v>
      </c>
    </row>
    <row r="204" customFormat="false" ht="15" hidden="false" customHeight="false" outlineLevel="0" collapsed="false">
      <c r="A204" s="7" t="n">
        <f aca="false">A203+1</f>
        <v>203</v>
      </c>
      <c r="B204" s="7" t="n">
        <f aca="false">RANDBETWEEN(30,50)</f>
        <v>30</v>
      </c>
      <c r="C204" s="7" t="n">
        <f aca="false">RANDBETWEEN(0,1)</f>
        <v>1</v>
      </c>
      <c r="D204" s="7" t="str">
        <f aca="false">IF(C204=0, "Homme", "Femme")</f>
        <v>Femme</v>
      </c>
      <c r="E204" s="7" t="n">
        <f aca="false">RANDBETWEEN(1,3)</f>
        <v>2</v>
      </c>
      <c r="F204" s="7" t="str">
        <f aca="false">IF(E204=1, "Favorable", IF(E204=2, "Défavorable", "Ne se prononce pas"))</f>
        <v>Défavorable</v>
      </c>
    </row>
    <row r="205" customFormat="false" ht="15" hidden="false" customHeight="false" outlineLevel="0" collapsed="false">
      <c r="A205" s="7" t="n">
        <f aca="false">A204+1</f>
        <v>204</v>
      </c>
      <c r="B205" s="7" t="n">
        <f aca="false">RANDBETWEEN(30,50)</f>
        <v>38</v>
      </c>
      <c r="C205" s="7" t="n">
        <f aca="false">RANDBETWEEN(0,1)</f>
        <v>0</v>
      </c>
      <c r="D205" s="7" t="str">
        <f aca="false">IF(C205=0, "Homme", "Femme")</f>
        <v>Homme</v>
      </c>
      <c r="E205" s="7" t="n">
        <f aca="false">RANDBETWEEN(1,3)</f>
        <v>1</v>
      </c>
      <c r="F205" s="7" t="str">
        <f aca="false">IF(E205=1, "Favorable", IF(E205=2, "Défavorable", "Ne se prononce pas"))</f>
        <v>Favorable</v>
      </c>
    </row>
    <row r="206" customFormat="false" ht="15" hidden="false" customHeight="false" outlineLevel="0" collapsed="false">
      <c r="A206" s="7" t="n">
        <f aca="false">A205+1</f>
        <v>205</v>
      </c>
      <c r="B206" s="7" t="n">
        <f aca="false">RANDBETWEEN(30,50)</f>
        <v>33</v>
      </c>
      <c r="C206" s="7" t="n">
        <f aca="false">RANDBETWEEN(0,1)</f>
        <v>0</v>
      </c>
      <c r="D206" s="7" t="str">
        <f aca="false">IF(C206=0, "Homme", "Femme")</f>
        <v>Homme</v>
      </c>
      <c r="E206" s="7" t="n">
        <f aca="false">RANDBETWEEN(1,3)</f>
        <v>2</v>
      </c>
      <c r="F206" s="7" t="str">
        <f aca="false">IF(E206=1, "Favorable", IF(E206=2, "Défavorable", "Ne se prononce pas"))</f>
        <v>Défavorable</v>
      </c>
    </row>
    <row r="207" customFormat="false" ht="15" hidden="false" customHeight="false" outlineLevel="0" collapsed="false">
      <c r="A207" s="7" t="n">
        <f aca="false">A206+1</f>
        <v>206</v>
      </c>
      <c r="B207" s="7" t="n">
        <f aca="false">RANDBETWEEN(30,50)</f>
        <v>41</v>
      </c>
      <c r="C207" s="7" t="n">
        <f aca="false">RANDBETWEEN(0,1)</f>
        <v>0</v>
      </c>
      <c r="D207" s="7" t="str">
        <f aca="false">IF(C207=0, "Homme", "Femme")</f>
        <v>Homme</v>
      </c>
      <c r="E207" s="7" t="n">
        <f aca="false">RANDBETWEEN(1,3)</f>
        <v>2</v>
      </c>
      <c r="F207" s="7" t="str">
        <f aca="false">IF(E207=1, "Favorable", IF(E207=2, "Défavorable", "Ne se prononce pas"))</f>
        <v>Défavorable</v>
      </c>
    </row>
    <row r="208" customFormat="false" ht="15" hidden="false" customHeight="false" outlineLevel="0" collapsed="false">
      <c r="A208" s="7" t="n">
        <f aca="false">A207+1</f>
        <v>207</v>
      </c>
      <c r="B208" s="7" t="n">
        <f aca="false">RANDBETWEEN(30,50)</f>
        <v>40</v>
      </c>
      <c r="C208" s="7" t="n">
        <f aca="false">RANDBETWEEN(0,1)</f>
        <v>1</v>
      </c>
      <c r="D208" s="7" t="str">
        <f aca="false">IF(C208=0, "Homme", "Femme")</f>
        <v>Femme</v>
      </c>
      <c r="E208" s="7" t="n">
        <f aca="false">RANDBETWEEN(1,3)</f>
        <v>1</v>
      </c>
      <c r="F208" s="7" t="str">
        <f aca="false">IF(E208=1, "Favorable", IF(E208=2, "Défavorable", "Ne se prononce pas"))</f>
        <v>Favorable</v>
      </c>
    </row>
    <row r="209" customFormat="false" ht="15" hidden="false" customHeight="false" outlineLevel="0" collapsed="false">
      <c r="A209" s="7" t="n">
        <f aca="false">A208+1</f>
        <v>208</v>
      </c>
      <c r="B209" s="7" t="n">
        <f aca="false">RANDBETWEEN(30,50)</f>
        <v>36</v>
      </c>
      <c r="C209" s="7" t="n">
        <f aca="false">RANDBETWEEN(0,1)</f>
        <v>1</v>
      </c>
      <c r="D209" s="7" t="str">
        <f aca="false">IF(C209=0, "Homme", "Femme")</f>
        <v>Femme</v>
      </c>
      <c r="E209" s="7" t="n">
        <f aca="false">RANDBETWEEN(1,3)</f>
        <v>3</v>
      </c>
      <c r="F209" s="7" t="str">
        <f aca="false">IF(E209=1, "Favorable", IF(E209=2, "Défavorable", "Ne se prononce pas"))</f>
        <v>Ne se prononce pas</v>
      </c>
    </row>
    <row r="210" customFormat="false" ht="15" hidden="false" customHeight="false" outlineLevel="0" collapsed="false">
      <c r="A210" s="7" t="n">
        <f aca="false">A209+1</f>
        <v>209</v>
      </c>
      <c r="B210" s="7" t="n">
        <f aca="false">RANDBETWEEN(30,50)</f>
        <v>32</v>
      </c>
      <c r="C210" s="7" t="n">
        <f aca="false">RANDBETWEEN(0,1)</f>
        <v>1</v>
      </c>
      <c r="D210" s="7" t="str">
        <f aca="false">IF(C210=0, "Homme", "Femme")</f>
        <v>Femme</v>
      </c>
      <c r="E210" s="7" t="n">
        <f aca="false">RANDBETWEEN(1,3)</f>
        <v>2</v>
      </c>
      <c r="F210" s="7" t="str">
        <f aca="false">IF(E210=1, "Favorable", IF(E210=2, "Défavorable", "Ne se prononce pas"))</f>
        <v>Défavorable</v>
      </c>
    </row>
    <row r="211" customFormat="false" ht="15" hidden="false" customHeight="false" outlineLevel="0" collapsed="false">
      <c r="A211" s="7" t="n">
        <f aca="false">A210+1</f>
        <v>210</v>
      </c>
      <c r="B211" s="7" t="n">
        <f aca="false">RANDBETWEEN(30,50)</f>
        <v>33</v>
      </c>
      <c r="C211" s="7" t="n">
        <f aca="false">RANDBETWEEN(0,1)</f>
        <v>0</v>
      </c>
      <c r="D211" s="7" t="str">
        <f aca="false">IF(C211=0, "Homme", "Femme")</f>
        <v>Homme</v>
      </c>
      <c r="E211" s="7" t="n">
        <f aca="false">RANDBETWEEN(1,3)</f>
        <v>1</v>
      </c>
      <c r="F211" s="7" t="str">
        <f aca="false">IF(E211=1, "Favorable", IF(E211=2, "Défavorable", "Ne se prononce pas"))</f>
        <v>Favorable</v>
      </c>
    </row>
    <row r="212" customFormat="false" ht="15" hidden="false" customHeight="false" outlineLevel="0" collapsed="false">
      <c r="A212" s="7" t="n">
        <f aca="false">A211+1</f>
        <v>211</v>
      </c>
      <c r="B212" s="7" t="n">
        <f aca="false">RANDBETWEEN(30,50)</f>
        <v>33</v>
      </c>
      <c r="C212" s="7" t="n">
        <f aca="false">RANDBETWEEN(0,1)</f>
        <v>0</v>
      </c>
      <c r="D212" s="7" t="str">
        <f aca="false">IF(C212=0, "Homme", "Femme")</f>
        <v>Homme</v>
      </c>
      <c r="E212" s="7" t="n">
        <f aca="false">RANDBETWEEN(1,3)</f>
        <v>2</v>
      </c>
      <c r="F212" s="7" t="str">
        <f aca="false">IF(E212=1, "Favorable", IF(E212=2, "Défavorable", "Ne se prononce pas"))</f>
        <v>Défavorable</v>
      </c>
    </row>
    <row r="213" customFormat="false" ht="15" hidden="false" customHeight="false" outlineLevel="0" collapsed="false">
      <c r="A213" s="7" t="n">
        <f aca="false">A212+1</f>
        <v>212</v>
      </c>
      <c r="B213" s="7" t="n">
        <f aca="false">RANDBETWEEN(30,50)</f>
        <v>32</v>
      </c>
      <c r="C213" s="7" t="n">
        <f aca="false">RANDBETWEEN(0,1)</f>
        <v>0</v>
      </c>
      <c r="D213" s="7" t="str">
        <f aca="false">IF(C213=0, "Homme", "Femme")</f>
        <v>Homme</v>
      </c>
      <c r="E213" s="7" t="n">
        <f aca="false">RANDBETWEEN(1,3)</f>
        <v>3</v>
      </c>
      <c r="F213" s="7" t="str">
        <f aca="false">IF(E213=1, "Favorable", IF(E213=2, "Défavorable", "Ne se prononce pas"))</f>
        <v>Ne se prononce pas</v>
      </c>
    </row>
    <row r="214" customFormat="false" ht="15" hidden="false" customHeight="false" outlineLevel="0" collapsed="false">
      <c r="A214" s="7" t="n">
        <f aca="false">A213+1</f>
        <v>213</v>
      </c>
      <c r="B214" s="7" t="n">
        <f aca="false">RANDBETWEEN(30,50)</f>
        <v>37</v>
      </c>
      <c r="C214" s="7" t="n">
        <f aca="false">RANDBETWEEN(0,1)</f>
        <v>1</v>
      </c>
      <c r="D214" s="7" t="str">
        <f aca="false">IF(C214=0, "Homme", "Femme")</f>
        <v>Femme</v>
      </c>
      <c r="E214" s="7" t="n">
        <f aca="false">RANDBETWEEN(1,3)</f>
        <v>3</v>
      </c>
      <c r="F214" s="7" t="str">
        <f aca="false">IF(E214=1, "Favorable", IF(E214=2, "Défavorable", "Ne se prononce pas"))</f>
        <v>Ne se prononce pas</v>
      </c>
    </row>
    <row r="215" customFormat="false" ht="15" hidden="false" customHeight="false" outlineLevel="0" collapsed="false">
      <c r="A215" s="7" t="n">
        <f aca="false">A214+1</f>
        <v>214</v>
      </c>
      <c r="B215" s="7" t="n">
        <f aca="false">RANDBETWEEN(30,50)</f>
        <v>43</v>
      </c>
      <c r="C215" s="7" t="n">
        <f aca="false">RANDBETWEEN(0,1)</f>
        <v>0</v>
      </c>
      <c r="D215" s="7" t="str">
        <f aca="false">IF(C215=0, "Homme", "Femme")</f>
        <v>Homme</v>
      </c>
      <c r="E215" s="7" t="n">
        <f aca="false">RANDBETWEEN(1,3)</f>
        <v>3</v>
      </c>
      <c r="F215" s="7" t="str">
        <f aca="false">IF(E215=1, "Favorable", IF(E215=2, "Défavorable", "Ne se prononce pas"))</f>
        <v>Ne se prononce pas</v>
      </c>
    </row>
    <row r="216" customFormat="false" ht="15" hidden="false" customHeight="false" outlineLevel="0" collapsed="false">
      <c r="A216" s="7" t="n">
        <f aca="false">A215+1</f>
        <v>215</v>
      </c>
      <c r="B216" s="7" t="n">
        <f aca="false">RANDBETWEEN(30,50)</f>
        <v>44</v>
      </c>
      <c r="C216" s="7" t="n">
        <f aca="false">RANDBETWEEN(0,1)</f>
        <v>1</v>
      </c>
      <c r="D216" s="7" t="str">
        <f aca="false">IF(C216=0, "Homme", "Femme")</f>
        <v>Femme</v>
      </c>
      <c r="E216" s="7" t="n">
        <f aca="false">RANDBETWEEN(1,3)</f>
        <v>2</v>
      </c>
      <c r="F216" s="7" t="str">
        <f aca="false">IF(E216=1, "Favorable", IF(E216=2, "Défavorable", "Ne se prononce pas"))</f>
        <v>Défavorable</v>
      </c>
    </row>
    <row r="217" customFormat="false" ht="15" hidden="false" customHeight="false" outlineLevel="0" collapsed="false">
      <c r="A217" s="7" t="n">
        <f aca="false">A216+1</f>
        <v>216</v>
      </c>
      <c r="B217" s="7" t="n">
        <f aca="false">RANDBETWEEN(30,50)</f>
        <v>47</v>
      </c>
      <c r="C217" s="7" t="n">
        <f aca="false">RANDBETWEEN(0,1)</f>
        <v>0</v>
      </c>
      <c r="D217" s="7" t="str">
        <f aca="false">IF(C217=0, "Homme", "Femme")</f>
        <v>Homme</v>
      </c>
      <c r="E217" s="7" t="n">
        <f aca="false">RANDBETWEEN(1,3)</f>
        <v>3</v>
      </c>
      <c r="F217" s="7" t="str">
        <f aca="false">IF(E217=1, "Favorable", IF(E217=2, "Défavorable", "Ne se prononce pas"))</f>
        <v>Ne se prononce pas</v>
      </c>
    </row>
    <row r="218" customFormat="false" ht="15" hidden="false" customHeight="false" outlineLevel="0" collapsed="false">
      <c r="A218" s="7" t="n">
        <f aca="false">A217+1</f>
        <v>217</v>
      </c>
      <c r="B218" s="7" t="n">
        <f aca="false">RANDBETWEEN(30,50)</f>
        <v>31</v>
      </c>
      <c r="C218" s="7" t="n">
        <f aca="false">RANDBETWEEN(0,1)</f>
        <v>1</v>
      </c>
      <c r="D218" s="7" t="str">
        <f aca="false">IF(C218=0, "Homme", "Femme")</f>
        <v>Femme</v>
      </c>
      <c r="E218" s="7" t="n">
        <f aca="false">RANDBETWEEN(1,3)</f>
        <v>2</v>
      </c>
      <c r="F218" s="7" t="str">
        <f aca="false">IF(E218=1, "Favorable", IF(E218=2, "Défavorable", "Ne se prononce pas"))</f>
        <v>Défavorable</v>
      </c>
    </row>
    <row r="219" customFormat="false" ht="15" hidden="false" customHeight="false" outlineLevel="0" collapsed="false">
      <c r="A219" s="7" t="n">
        <f aca="false">A218+1</f>
        <v>218</v>
      </c>
      <c r="B219" s="7" t="n">
        <f aca="false">RANDBETWEEN(30,50)</f>
        <v>48</v>
      </c>
      <c r="C219" s="7" t="n">
        <f aca="false">RANDBETWEEN(0,1)</f>
        <v>1</v>
      </c>
      <c r="D219" s="7" t="str">
        <f aca="false">IF(C219=0, "Homme", "Femme")</f>
        <v>Femme</v>
      </c>
      <c r="E219" s="7" t="n">
        <f aca="false">RANDBETWEEN(1,3)</f>
        <v>1</v>
      </c>
      <c r="F219" s="7" t="str">
        <f aca="false">IF(E219=1, "Favorable", IF(E219=2, "Défavorable", "Ne se prononce pas"))</f>
        <v>Favorable</v>
      </c>
    </row>
    <row r="220" customFormat="false" ht="15" hidden="false" customHeight="false" outlineLevel="0" collapsed="false">
      <c r="A220" s="7" t="n">
        <f aca="false">A219+1</f>
        <v>219</v>
      </c>
      <c r="B220" s="7" t="n">
        <f aca="false">RANDBETWEEN(30,50)</f>
        <v>36</v>
      </c>
      <c r="C220" s="7" t="n">
        <f aca="false">RANDBETWEEN(0,1)</f>
        <v>0</v>
      </c>
      <c r="D220" s="7" t="str">
        <f aca="false">IF(C220=0, "Homme", "Femme")</f>
        <v>Homme</v>
      </c>
      <c r="E220" s="7" t="n">
        <f aca="false">RANDBETWEEN(1,3)</f>
        <v>1</v>
      </c>
      <c r="F220" s="7" t="str">
        <f aca="false">IF(E220=1, "Favorable", IF(E220=2, "Défavorable", "Ne se prononce pas"))</f>
        <v>Favorable</v>
      </c>
    </row>
    <row r="221" customFormat="false" ht="15" hidden="false" customHeight="false" outlineLevel="0" collapsed="false">
      <c r="A221" s="7" t="n">
        <f aca="false">A220+1</f>
        <v>220</v>
      </c>
      <c r="B221" s="7" t="n">
        <f aca="false">RANDBETWEEN(30,50)</f>
        <v>41</v>
      </c>
      <c r="C221" s="7" t="n">
        <f aca="false">RANDBETWEEN(0,1)</f>
        <v>0</v>
      </c>
      <c r="D221" s="7" t="str">
        <f aca="false">IF(C221=0, "Homme", "Femme")</f>
        <v>Homme</v>
      </c>
      <c r="E221" s="7" t="n">
        <f aca="false">RANDBETWEEN(1,3)</f>
        <v>1</v>
      </c>
      <c r="F221" s="7" t="str">
        <f aca="false">IF(E221=1, "Favorable", IF(E221=2, "Défavorable", "Ne se prononce pas"))</f>
        <v>Favorable</v>
      </c>
    </row>
    <row r="222" customFormat="false" ht="15" hidden="false" customHeight="false" outlineLevel="0" collapsed="false">
      <c r="A222" s="7" t="n">
        <f aca="false">A221+1</f>
        <v>221</v>
      </c>
      <c r="B222" s="7" t="n">
        <f aca="false">RANDBETWEEN(30,50)</f>
        <v>30</v>
      </c>
      <c r="C222" s="7" t="n">
        <f aca="false">RANDBETWEEN(0,1)</f>
        <v>0</v>
      </c>
      <c r="D222" s="7" t="str">
        <f aca="false">IF(C222=0, "Homme", "Femme")</f>
        <v>Homme</v>
      </c>
      <c r="E222" s="7" t="n">
        <f aca="false">RANDBETWEEN(1,3)</f>
        <v>3</v>
      </c>
      <c r="F222" s="7" t="str">
        <f aca="false">IF(E222=1, "Favorable", IF(E222=2, "Défavorable", "Ne se prononce pas"))</f>
        <v>Ne se prononce pas</v>
      </c>
    </row>
    <row r="223" customFormat="false" ht="15" hidden="false" customHeight="false" outlineLevel="0" collapsed="false">
      <c r="A223" s="7" t="n">
        <f aca="false">A222+1</f>
        <v>222</v>
      </c>
      <c r="B223" s="7" t="n">
        <f aca="false">RANDBETWEEN(30,50)</f>
        <v>37</v>
      </c>
      <c r="C223" s="7" t="n">
        <f aca="false">RANDBETWEEN(0,1)</f>
        <v>0</v>
      </c>
      <c r="D223" s="7" t="str">
        <f aca="false">IF(C223=0, "Homme", "Femme")</f>
        <v>Homme</v>
      </c>
      <c r="E223" s="7" t="n">
        <f aca="false">RANDBETWEEN(1,3)</f>
        <v>2</v>
      </c>
      <c r="F223" s="7" t="str">
        <f aca="false">IF(E223=1, "Favorable", IF(E223=2, "Défavorable", "Ne se prononce pas"))</f>
        <v>Défavorable</v>
      </c>
    </row>
    <row r="224" customFormat="false" ht="15" hidden="false" customHeight="false" outlineLevel="0" collapsed="false">
      <c r="A224" s="7" t="n">
        <f aca="false">A223+1</f>
        <v>223</v>
      </c>
      <c r="B224" s="7" t="n">
        <f aca="false">RANDBETWEEN(30,50)</f>
        <v>50</v>
      </c>
      <c r="C224" s="7" t="n">
        <f aca="false">RANDBETWEEN(0,1)</f>
        <v>0</v>
      </c>
      <c r="D224" s="7" t="str">
        <f aca="false">IF(C224=0, "Homme", "Femme")</f>
        <v>Homme</v>
      </c>
      <c r="E224" s="7" t="n">
        <f aca="false">RANDBETWEEN(1,3)</f>
        <v>1</v>
      </c>
      <c r="F224" s="7" t="str">
        <f aca="false">IF(E224=1, "Favorable", IF(E224=2, "Défavorable", "Ne se prononce pas"))</f>
        <v>Favorable</v>
      </c>
    </row>
    <row r="225" customFormat="false" ht="15" hidden="false" customHeight="false" outlineLevel="0" collapsed="false">
      <c r="A225" s="7" t="n">
        <f aca="false">A224+1</f>
        <v>224</v>
      </c>
      <c r="B225" s="7" t="n">
        <f aca="false">RANDBETWEEN(30,50)</f>
        <v>44</v>
      </c>
      <c r="C225" s="7" t="n">
        <f aca="false">RANDBETWEEN(0,1)</f>
        <v>0</v>
      </c>
      <c r="D225" s="7" t="str">
        <f aca="false">IF(C225=0, "Homme", "Femme")</f>
        <v>Homme</v>
      </c>
      <c r="E225" s="7" t="n">
        <f aca="false">RANDBETWEEN(1,3)</f>
        <v>1</v>
      </c>
      <c r="F225" s="7" t="str">
        <f aca="false">IF(E225=1, "Favorable", IF(E225=2, "Défavorable", "Ne se prononce pas"))</f>
        <v>Favorable</v>
      </c>
    </row>
    <row r="226" customFormat="false" ht="15" hidden="false" customHeight="false" outlineLevel="0" collapsed="false">
      <c r="A226" s="7" t="n">
        <f aca="false">A225+1</f>
        <v>225</v>
      </c>
      <c r="B226" s="7" t="n">
        <f aca="false">RANDBETWEEN(30,50)</f>
        <v>38</v>
      </c>
      <c r="C226" s="7" t="n">
        <f aca="false">RANDBETWEEN(0,1)</f>
        <v>0</v>
      </c>
      <c r="D226" s="7" t="str">
        <f aca="false">IF(C226=0, "Homme", "Femme")</f>
        <v>Homme</v>
      </c>
      <c r="E226" s="7" t="n">
        <f aca="false">RANDBETWEEN(1,3)</f>
        <v>2</v>
      </c>
      <c r="F226" s="7" t="str">
        <f aca="false">IF(E226=1, "Favorable", IF(E226=2, "Défavorable", "Ne se prononce pas"))</f>
        <v>Défavorable</v>
      </c>
    </row>
    <row r="227" customFormat="false" ht="15" hidden="false" customHeight="false" outlineLevel="0" collapsed="false">
      <c r="A227" s="7" t="n">
        <f aca="false">A226+1</f>
        <v>226</v>
      </c>
      <c r="B227" s="7" t="n">
        <f aca="false">RANDBETWEEN(30,50)</f>
        <v>38</v>
      </c>
      <c r="C227" s="7" t="n">
        <f aca="false">RANDBETWEEN(0,1)</f>
        <v>0</v>
      </c>
      <c r="D227" s="7" t="str">
        <f aca="false">IF(C227=0, "Homme", "Femme")</f>
        <v>Homme</v>
      </c>
      <c r="E227" s="7" t="n">
        <f aca="false">RANDBETWEEN(1,3)</f>
        <v>2</v>
      </c>
      <c r="F227" s="7" t="str">
        <f aca="false">IF(E227=1, "Favorable", IF(E227=2, "Défavorable", "Ne se prononce pas"))</f>
        <v>Défavorable</v>
      </c>
    </row>
    <row r="228" customFormat="false" ht="15" hidden="false" customHeight="false" outlineLevel="0" collapsed="false">
      <c r="A228" s="7" t="n">
        <f aca="false">A227+1</f>
        <v>227</v>
      </c>
      <c r="B228" s="7" t="n">
        <f aca="false">RANDBETWEEN(30,50)</f>
        <v>36</v>
      </c>
      <c r="C228" s="7" t="n">
        <f aca="false">RANDBETWEEN(0,1)</f>
        <v>0</v>
      </c>
      <c r="D228" s="7" t="str">
        <f aca="false">IF(C228=0, "Homme", "Femme")</f>
        <v>Homme</v>
      </c>
      <c r="E228" s="7" t="n">
        <f aca="false">RANDBETWEEN(1,3)</f>
        <v>2</v>
      </c>
      <c r="F228" s="7" t="str">
        <f aca="false">IF(E228=1, "Favorable", IF(E228=2, "Défavorable", "Ne se prononce pas"))</f>
        <v>Défavorable</v>
      </c>
    </row>
    <row r="229" customFormat="false" ht="15" hidden="false" customHeight="false" outlineLevel="0" collapsed="false">
      <c r="A229" s="7" t="n">
        <f aca="false">A228+1</f>
        <v>228</v>
      </c>
      <c r="B229" s="7" t="n">
        <f aca="false">RANDBETWEEN(30,50)</f>
        <v>47</v>
      </c>
      <c r="C229" s="7" t="n">
        <f aca="false">RANDBETWEEN(0,1)</f>
        <v>0</v>
      </c>
      <c r="D229" s="7" t="str">
        <f aca="false">IF(C229=0, "Homme", "Femme")</f>
        <v>Homme</v>
      </c>
      <c r="E229" s="7" t="n">
        <f aca="false">RANDBETWEEN(1,3)</f>
        <v>2</v>
      </c>
      <c r="F229" s="7" t="str">
        <f aca="false">IF(E229=1, "Favorable", IF(E229=2, "Défavorable", "Ne se prononce pas"))</f>
        <v>Défavorable</v>
      </c>
    </row>
    <row r="230" customFormat="false" ht="15" hidden="false" customHeight="false" outlineLevel="0" collapsed="false">
      <c r="A230" s="7" t="n">
        <f aca="false">A229+1</f>
        <v>229</v>
      </c>
      <c r="B230" s="7" t="n">
        <f aca="false">RANDBETWEEN(30,50)</f>
        <v>48</v>
      </c>
      <c r="C230" s="7" t="n">
        <f aca="false">RANDBETWEEN(0,1)</f>
        <v>1</v>
      </c>
      <c r="D230" s="7" t="str">
        <f aca="false">IF(C230=0, "Homme", "Femme")</f>
        <v>Femme</v>
      </c>
      <c r="E230" s="7" t="n">
        <f aca="false">RANDBETWEEN(1,3)</f>
        <v>3</v>
      </c>
      <c r="F230" s="7" t="str">
        <f aca="false">IF(E230=1, "Favorable", IF(E230=2, "Défavorable", "Ne se prononce pas"))</f>
        <v>Ne se prononce pas</v>
      </c>
    </row>
    <row r="231" customFormat="false" ht="15" hidden="false" customHeight="false" outlineLevel="0" collapsed="false">
      <c r="A231" s="7" t="n">
        <f aca="false">A230+1</f>
        <v>230</v>
      </c>
      <c r="B231" s="7" t="n">
        <f aca="false">RANDBETWEEN(30,50)</f>
        <v>47</v>
      </c>
      <c r="C231" s="7" t="n">
        <f aca="false">RANDBETWEEN(0,1)</f>
        <v>1</v>
      </c>
      <c r="D231" s="7" t="str">
        <f aca="false">IF(C231=0, "Homme", "Femme")</f>
        <v>Femme</v>
      </c>
      <c r="E231" s="7" t="n">
        <f aca="false">RANDBETWEEN(1,3)</f>
        <v>3</v>
      </c>
      <c r="F231" s="7" t="str">
        <f aca="false">IF(E231=1, "Favorable", IF(E231=2, "Défavorable", "Ne se prononce pas"))</f>
        <v>Ne se prononce pas</v>
      </c>
    </row>
    <row r="232" customFormat="false" ht="15" hidden="false" customHeight="false" outlineLevel="0" collapsed="false">
      <c r="A232" s="7" t="n">
        <f aca="false">A231+1</f>
        <v>231</v>
      </c>
      <c r="B232" s="7" t="n">
        <f aca="false">RANDBETWEEN(30,50)</f>
        <v>37</v>
      </c>
      <c r="C232" s="7" t="n">
        <f aca="false">RANDBETWEEN(0,1)</f>
        <v>1</v>
      </c>
      <c r="D232" s="7" t="str">
        <f aca="false">IF(C232=0, "Homme", "Femme")</f>
        <v>Femme</v>
      </c>
      <c r="E232" s="7" t="n">
        <f aca="false">RANDBETWEEN(1,3)</f>
        <v>3</v>
      </c>
      <c r="F232" s="7" t="str">
        <f aca="false">IF(E232=1, "Favorable", IF(E232=2, "Défavorable", "Ne se prononce pas"))</f>
        <v>Ne se prononce pas</v>
      </c>
    </row>
    <row r="233" customFormat="false" ht="15" hidden="false" customHeight="false" outlineLevel="0" collapsed="false">
      <c r="A233" s="7" t="n">
        <f aca="false">A232+1</f>
        <v>232</v>
      </c>
      <c r="B233" s="7" t="n">
        <f aca="false">RANDBETWEEN(30,50)</f>
        <v>50</v>
      </c>
      <c r="C233" s="7" t="n">
        <f aca="false">RANDBETWEEN(0,1)</f>
        <v>1</v>
      </c>
      <c r="D233" s="7" t="str">
        <f aca="false">IF(C233=0, "Homme", "Femme")</f>
        <v>Femme</v>
      </c>
      <c r="E233" s="7" t="n">
        <f aca="false">RANDBETWEEN(1,3)</f>
        <v>1</v>
      </c>
      <c r="F233" s="7" t="str">
        <f aca="false">IF(E233=1, "Favorable", IF(E233=2, "Défavorable", "Ne se prononce pas"))</f>
        <v>Favorable</v>
      </c>
    </row>
    <row r="234" customFormat="false" ht="15" hidden="false" customHeight="false" outlineLevel="0" collapsed="false">
      <c r="A234" s="7" t="n">
        <f aca="false">A233+1</f>
        <v>233</v>
      </c>
      <c r="B234" s="7" t="n">
        <f aca="false">RANDBETWEEN(30,50)</f>
        <v>46</v>
      </c>
      <c r="C234" s="7" t="n">
        <f aca="false">RANDBETWEEN(0,1)</f>
        <v>0</v>
      </c>
      <c r="D234" s="7" t="str">
        <f aca="false">IF(C234=0, "Homme", "Femme")</f>
        <v>Homme</v>
      </c>
      <c r="E234" s="7" t="n">
        <f aca="false">RANDBETWEEN(1,3)</f>
        <v>1</v>
      </c>
      <c r="F234" s="7" t="str">
        <f aca="false">IF(E234=1, "Favorable", IF(E234=2, "Défavorable", "Ne se prononce pas"))</f>
        <v>Favorable</v>
      </c>
    </row>
    <row r="235" customFormat="false" ht="15" hidden="false" customHeight="false" outlineLevel="0" collapsed="false">
      <c r="A235" s="7" t="n">
        <f aca="false">A234+1</f>
        <v>234</v>
      </c>
      <c r="B235" s="7" t="n">
        <f aca="false">RANDBETWEEN(30,50)</f>
        <v>43</v>
      </c>
      <c r="C235" s="7" t="n">
        <f aca="false">RANDBETWEEN(0,1)</f>
        <v>0</v>
      </c>
      <c r="D235" s="7" t="str">
        <f aca="false">IF(C235=0, "Homme", "Femme")</f>
        <v>Homme</v>
      </c>
      <c r="E235" s="7" t="n">
        <f aca="false">RANDBETWEEN(1,3)</f>
        <v>1</v>
      </c>
      <c r="F235" s="7" t="str">
        <f aca="false">IF(E235=1, "Favorable", IF(E235=2, "Défavorable", "Ne se prononce pas"))</f>
        <v>Favorable</v>
      </c>
    </row>
    <row r="236" customFormat="false" ht="15" hidden="false" customHeight="false" outlineLevel="0" collapsed="false">
      <c r="A236" s="7" t="n">
        <f aca="false">A235+1</f>
        <v>235</v>
      </c>
      <c r="B236" s="7" t="n">
        <f aca="false">RANDBETWEEN(30,50)</f>
        <v>30</v>
      </c>
      <c r="C236" s="7" t="n">
        <f aca="false">RANDBETWEEN(0,1)</f>
        <v>1</v>
      </c>
      <c r="D236" s="7" t="str">
        <f aca="false">IF(C236=0, "Homme", "Femme")</f>
        <v>Femme</v>
      </c>
      <c r="E236" s="7" t="n">
        <f aca="false">RANDBETWEEN(1,3)</f>
        <v>2</v>
      </c>
      <c r="F236" s="7" t="str">
        <f aca="false">IF(E236=1, "Favorable", IF(E236=2, "Défavorable", "Ne se prononce pas"))</f>
        <v>Défavorable</v>
      </c>
    </row>
    <row r="237" customFormat="false" ht="15" hidden="false" customHeight="false" outlineLevel="0" collapsed="false">
      <c r="A237" s="7" t="n">
        <f aca="false">A236+1</f>
        <v>236</v>
      </c>
      <c r="B237" s="7" t="n">
        <f aca="false">RANDBETWEEN(30,50)</f>
        <v>40</v>
      </c>
      <c r="C237" s="7" t="n">
        <f aca="false">RANDBETWEEN(0,1)</f>
        <v>0</v>
      </c>
      <c r="D237" s="7" t="str">
        <f aca="false">IF(C237=0, "Homme", "Femme")</f>
        <v>Homme</v>
      </c>
      <c r="E237" s="7" t="n">
        <f aca="false">RANDBETWEEN(1,3)</f>
        <v>1</v>
      </c>
      <c r="F237" s="7" t="str">
        <f aca="false">IF(E237=1, "Favorable", IF(E237=2, "Défavorable", "Ne se prononce pas"))</f>
        <v>Favorable</v>
      </c>
    </row>
    <row r="238" customFormat="false" ht="15" hidden="false" customHeight="false" outlineLevel="0" collapsed="false">
      <c r="A238" s="7" t="n">
        <f aca="false">A237+1</f>
        <v>237</v>
      </c>
      <c r="B238" s="7" t="n">
        <f aca="false">RANDBETWEEN(30,50)</f>
        <v>33</v>
      </c>
      <c r="C238" s="7" t="n">
        <f aca="false">RANDBETWEEN(0,1)</f>
        <v>0</v>
      </c>
      <c r="D238" s="7" t="str">
        <f aca="false">IF(C238=0, "Homme", "Femme")</f>
        <v>Homme</v>
      </c>
      <c r="E238" s="7" t="n">
        <f aca="false">RANDBETWEEN(1,3)</f>
        <v>1</v>
      </c>
      <c r="F238" s="7" t="str">
        <f aca="false">IF(E238=1, "Favorable", IF(E238=2, "Défavorable", "Ne se prononce pas"))</f>
        <v>Favorable</v>
      </c>
    </row>
    <row r="239" customFormat="false" ht="15" hidden="false" customHeight="false" outlineLevel="0" collapsed="false">
      <c r="A239" s="7" t="n">
        <f aca="false">A238+1</f>
        <v>238</v>
      </c>
      <c r="B239" s="7" t="n">
        <f aca="false">RANDBETWEEN(30,50)</f>
        <v>38</v>
      </c>
      <c r="C239" s="7" t="n">
        <f aca="false">RANDBETWEEN(0,1)</f>
        <v>1</v>
      </c>
      <c r="D239" s="7" t="str">
        <f aca="false">IF(C239=0, "Homme", "Femme")</f>
        <v>Femme</v>
      </c>
      <c r="E239" s="7" t="n">
        <f aca="false">RANDBETWEEN(1,3)</f>
        <v>3</v>
      </c>
      <c r="F239" s="7" t="str">
        <f aca="false">IF(E239=1, "Favorable", IF(E239=2, "Défavorable", "Ne se prononce pas"))</f>
        <v>Ne se prononce pas</v>
      </c>
    </row>
    <row r="240" customFormat="false" ht="15" hidden="false" customHeight="false" outlineLevel="0" collapsed="false">
      <c r="A240" s="7" t="n">
        <f aca="false">A239+1</f>
        <v>239</v>
      </c>
      <c r="B240" s="7" t="n">
        <f aca="false">RANDBETWEEN(30,50)</f>
        <v>35</v>
      </c>
      <c r="C240" s="7" t="n">
        <f aca="false">RANDBETWEEN(0,1)</f>
        <v>0</v>
      </c>
      <c r="D240" s="7" t="str">
        <f aca="false">IF(C240=0, "Homme", "Femme")</f>
        <v>Homme</v>
      </c>
      <c r="E240" s="7" t="n">
        <f aca="false">RANDBETWEEN(1,3)</f>
        <v>3</v>
      </c>
      <c r="F240" s="7" t="str">
        <f aca="false">IF(E240=1, "Favorable", IF(E240=2, "Défavorable", "Ne se prononce pas"))</f>
        <v>Ne se prononce pas</v>
      </c>
    </row>
    <row r="241" customFormat="false" ht="15" hidden="false" customHeight="false" outlineLevel="0" collapsed="false">
      <c r="A241" s="7" t="n">
        <f aca="false">A240+1</f>
        <v>240</v>
      </c>
      <c r="B241" s="7" t="n">
        <f aca="false">RANDBETWEEN(30,50)</f>
        <v>32</v>
      </c>
      <c r="C241" s="7" t="n">
        <f aca="false">RANDBETWEEN(0,1)</f>
        <v>0</v>
      </c>
      <c r="D241" s="7" t="str">
        <f aca="false">IF(C241=0, "Homme", "Femme")</f>
        <v>Homme</v>
      </c>
      <c r="E241" s="7" t="n">
        <f aca="false">RANDBETWEEN(1,3)</f>
        <v>2</v>
      </c>
      <c r="F241" s="7" t="str">
        <f aca="false">IF(E241=1, "Favorable", IF(E241=2, "Défavorable", "Ne se prononce pas"))</f>
        <v>Défavorable</v>
      </c>
    </row>
    <row r="242" customFormat="false" ht="15" hidden="false" customHeight="false" outlineLevel="0" collapsed="false">
      <c r="A242" s="7" t="n">
        <f aca="false">A241+1</f>
        <v>241</v>
      </c>
      <c r="B242" s="7" t="n">
        <f aca="false">RANDBETWEEN(30,50)</f>
        <v>31</v>
      </c>
      <c r="C242" s="7" t="n">
        <f aca="false">RANDBETWEEN(0,1)</f>
        <v>0</v>
      </c>
      <c r="D242" s="7" t="str">
        <f aca="false">IF(C242=0, "Homme", "Femme")</f>
        <v>Homme</v>
      </c>
      <c r="E242" s="7" t="n">
        <f aca="false">RANDBETWEEN(1,3)</f>
        <v>3</v>
      </c>
      <c r="F242" s="7" t="str">
        <f aca="false">IF(E242=1, "Favorable", IF(E242=2, "Défavorable", "Ne se prononce pas"))</f>
        <v>Ne se prononce pas</v>
      </c>
    </row>
    <row r="243" customFormat="false" ht="15" hidden="false" customHeight="false" outlineLevel="0" collapsed="false">
      <c r="A243" s="7" t="n">
        <f aca="false">A242+1</f>
        <v>242</v>
      </c>
      <c r="B243" s="7" t="n">
        <f aca="false">RANDBETWEEN(30,50)</f>
        <v>48</v>
      </c>
      <c r="C243" s="7" t="n">
        <f aca="false">RANDBETWEEN(0,1)</f>
        <v>0</v>
      </c>
      <c r="D243" s="7" t="str">
        <f aca="false">IF(C243=0, "Homme", "Femme")</f>
        <v>Homme</v>
      </c>
      <c r="E243" s="7" t="n">
        <f aca="false">RANDBETWEEN(1,3)</f>
        <v>3</v>
      </c>
      <c r="F243" s="7" t="str">
        <f aca="false">IF(E243=1, "Favorable", IF(E243=2, "Défavorable", "Ne se prononce pas"))</f>
        <v>Ne se prononce pas</v>
      </c>
    </row>
    <row r="244" customFormat="false" ht="15" hidden="false" customHeight="false" outlineLevel="0" collapsed="false">
      <c r="A244" s="7" t="n">
        <f aca="false">A243+1</f>
        <v>243</v>
      </c>
      <c r="B244" s="7" t="n">
        <f aca="false">RANDBETWEEN(30,50)</f>
        <v>45</v>
      </c>
      <c r="C244" s="7" t="n">
        <f aca="false">RANDBETWEEN(0,1)</f>
        <v>1</v>
      </c>
      <c r="D244" s="7" t="str">
        <f aca="false">IF(C244=0, "Homme", "Femme")</f>
        <v>Femme</v>
      </c>
      <c r="E244" s="7" t="n">
        <f aca="false">RANDBETWEEN(1,3)</f>
        <v>3</v>
      </c>
      <c r="F244" s="7" t="str">
        <f aca="false">IF(E244=1, "Favorable", IF(E244=2, "Défavorable", "Ne se prononce pas"))</f>
        <v>Ne se prononce pas</v>
      </c>
    </row>
    <row r="245" customFormat="false" ht="15" hidden="false" customHeight="false" outlineLevel="0" collapsed="false">
      <c r="A245" s="7" t="n">
        <f aca="false">A244+1</f>
        <v>244</v>
      </c>
      <c r="B245" s="7" t="n">
        <f aca="false">RANDBETWEEN(30,50)</f>
        <v>33</v>
      </c>
      <c r="C245" s="7" t="n">
        <f aca="false">RANDBETWEEN(0,1)</f>
        <v>1</v>
      </c>
      <c r="D245" s="7" t="str">
        <f aca="false">IF(C245=0, "Homme", "Femme")</f>
        <v>Femme</v>
      </c>
      <c r="E245" s="7" t="n">
        <f aca="false">RANDBETWEEN(1,3)</f>
        <v>2</v>
      </c>
      <c r="F245" s="7" t="str">
        <f aca="false">IF(E245=1, "Favorable", IF(E245=2, "Défavorable", "Ne se prononce pas"))</f>
        <v>Défavorable</v>
      </c>
    </row>
    <row r="246" customFormat="false" ht="15" hidden="false" customHeight="false" outlineLevel="0" collapsed="false">
      <c r="A246" s="7" t="n">
        <f aca="false">A245+1</f>
        <v>245</v>
      </c>
      <c r="B246" s="7" t="n">
        <f aca="false">RANDBETWEEN(30,50)</f>
        <v>43</v>
      </c>
      <c r="C246" s="7" t="n">
        <f aca="false">RANDBETWEEN(0,1)</f>
        <v>0</v>
      </c>
      <c r="D246" s="7" t="str">
        <f aca="false">IF(C246=0, "Homme", "Femme")</f>
        <v>Homme</v>
      </c>
      <c r="E246" s="7" t="n">
        <f aca="false">RANDBETWEEN(1,3)</f>
        <v>1</v>
      </c>
      <c r="F246" s="7" t="str">
        <f aca="false">IF(E246=1, "Favorable", IF(E246=2, "Défavorable", "Ne se prononce pas"))</f>
        <v>Favorable</v>
      </c>
    </row>
    <row r="247" customFormat="false" ht="15" hidden="false" customHeight="false" outlineLevel="0" collapsed="false">
      <c r="A247" s="7" t="n">
        <f aca="false">A246+1</f>
        <v>246</v>
      </c>
      <c r="B247" s="7" t="n">
        <f aca="false">RANDBETWEEN(30,50)</f>
        <v>38</v>
      </c>
      <c r="C247" s="7" t="n">
        <f aca="false">RANDBETWEEN(0,1)</f>
        <v>1</v>
      </c>
      <c r="D247" s="7" t="str">
        <f aca="false">IF(C247=0, "Homme", "Femme")</f>
        <v>Femme</v>
      </c>
      <c r="E247" s="7" t="n">
        <f aca="false">RANDBETWEEN(1,3)</f>
        <v>2</v>
      </c>
      <c r="F247" s="7" t="str">
        <f aca="false">IF(E247=1, "Favorable", IF(E247=2, "Défavorable", "Ne se prononce pas"))</f>
        <v>Défavorable</v>
      </c>
    </row>
    <row r="248" customFormat="false" ht="15" hidden="false" customHeight="false" outlineLevel="0" collapsed="false">
      <c r="A248" s="7" t="n">
        <f aca="false">A247+1</f>
        <v>247</v>
      </c>
      <c r="B248" s="7" t="n">
        <f aca="false">RANDBETWEEN(30,50)</f>
        <v>30</v>
      </c>
      <c r="C248" s="7" t="n">
        <f aca="false">RANDBETWEEN(0,1)</f>
        <v>0</v>
      </c>
      <c r="D248" s="7" t="str">
        <f aca="false">IF(C248=0, "Homme", "Femme")</f>
        <v>Homme</v>
      </c>
      <c r="E248" s="7" t="n">
        <f aca="false">RANDBETWEEN(1,3)</f>
        <v>3</v>
      </c>
      <c r="F248" s="7" t="str">
        <f aca="false">IF(E248=1, "Favorable", IF(E248=2, "Défavorable", "Ne se prononce pas"))</f>
        <v>Ne se prononce pas</v>
      </c>
    </row>
    <row r="249" customFormat="false" ht="15" hidden="false" customHeight="false" outlineLevel="0" collapsed="false">
      <c r="A249" s="7" t="n">
        <f aca="false">A248+1</f>
        <v>248</v>
      </c>
      <c r="B249" s="7" t="n">
        <f aca="false">RANDBETWEEN(30,50)</f>
        <v>33</v>
      </c>
      <c r="C249" s="7" t="n">
        <f aca="false">RANDBETWEEN(0,1)</f>
        <v>1</v>
      </c>
      <c r="D249" s="7" t="str">
        <f aca="false">IF(C249=0, "Homme", "Femme")</f>
        <v>Femme</v>
      </c>
      <c r="E249" s="7" t="n">
        <f aca="false">RANDBETWEEN(1,3)</f>
        <v>2</v>
      </c>
      <c r="F249" s="7" t="str">
        <f aca="false">IF(E249=1, "Favorable", IF(E249=2, "Défavorable", "Ne se prononce pas"))</f>
        <v>Défavorable</v>
      </c>
    </row>
    <row r="250" customFormat="false" ht="15" hidden="false" customHeight="false" outlineLevel="0" collapsed="false">
      <c r="A250" s="7" t="n">
        <f aca="false">A249+1</f>
        <v>249</v>
      </c>
      <c r="B250" s="7" t="n">
        <f aca="false">RANDBETWEEN(30,50)</f>
        <v>34</v>
      </c>
      <c r="C250" s="7" t="n">
        <f aca="false">RANDBETWEEN(0,1)</f>
        <v>1</v>
      </c>
      <c r="D250" s="7" t="str">
        <f aca="false">IF(C250=0, "Homme", "Femme")</f>
        <v>Femme</v>
      </c>
      <c r="E250" s="7" t="n">
        <f aca="false">RANDBETWEEN(1,3)</f>
        <v>3</v>
      </c>
      <c r="F250" s="7" t="str">
        <f aca="false">IF(E250=1, "Favorable", IF(E250=2, "Défavorable", "Ne se prononce pas"))</f>
        <v>Ne se prononce pas</v>
      </c>
    </row>
    <row r="251" customFormat="false" ht="15" hidden="false" customHeight="false" outlineLevel="0" collapsed="false">
      <c r="A251" s="7" t="n">
        <f aca="false">A250+1</f>
        <v>250</v>
      </c>
      <c r="B251" s="7" t="n">
        <f aca="false">RANDBETWEEN(30,50)</f>
        <v>50</v>
      </c>
      <c r="C251" s="7" t="n">
        <f aca="false">RANDBETWEEN(0,1)</f>
        <v>0</v>
      </c>
      <c r="D251" s="7" t="str">
        <f aca="false">IF(C251=0, "Homme", "Femme")</f>
        <v>Homme</v>
      </c>
      <c r="E251" s="7" t="n">
        <f aca="false">RANDBETWEEN(1,3)</f>
        <v>2</v>
      </c>
      <c r="F251" s="7" t="str">
        <f aca="false">IF(E251=1, "Favorable", IF(E251=2, "Défavorable", "Ne se prononce pas"))</f>
        <v>Défavorable</v>
      </c>
    </row>
    <row r="252" customFormat="false" ht="15" hidden="false" customHeight="false" outlineLevel="0" collapsed="false">
      <c r="A252" s="7" t="n">
        <f aca="false">A251+1</f>
        <v>251</v>
      </c>
      <c r="B252" s="7" t="n">
        <f aca="false">RANDBETWEEN(30,50)</f>
        <v>50</v>
      </c>
      <c r="C252" s="7" t="n">
        <f aca="false">RANDBETWEEN(0,1)</f>
        <v>1</v>
      </c>
      <c r="D252" s="7" t="str">
        <f aca="false">IF(C252=0, "Homme", "Femme")</f>
        <v>Femme</v>
      </c>
      <c r="E252" s="7" t="n">
        <f aca="false">RANDBETWEEN(1,3)</f>
        <v>3</v>
      </c>
      <c r="F252" s="7" t="str">
        <f aca="false">IF(E252=1, "Favorable", IF(E252=2, "Défavorable", "Ne se prononce pas"))</f>
        <v>Ne se prononce pas</v>
      </c>
    </row>
    <row r="253" customFormat="false" ht="15" hidden="false" customHeight="false" outlineLevel="0" collapsed="false">
      <c r="A253" s="7" t="n">
        <f aca="false">A252+1</f>
        <v>252</v>
      </c>
      <c r="B253" s="7" t="n">
        <f aca="false">RANDBETWEEN(30,50)</f>
        <v>48</v>
      </c>
      <c r="C253" s="7" t="n">
        <f aca="false">RANDBETWEEN(0,1)</f>
        <v>0</v>
      </c>
      <c r="D253" s="7" t="str">
        <f aca="false">IF(C253=0, "Homme", "Femme")</f>
        <v>Homme</v>
      </c>
      <c r="E253" s="7" t="n">
        <f aca="false">RANDBETWEEN(1,3)</f>
        <v>3</v>
      </c>
      <c r="F253" s="7" t="str">
        <f aca="false">IF(E253=1, "Favorable", IF(E253=2, "Défavorable", "Ne se prononce pas"))</f>
        <v>Ne se prononce pas</v>
      </c>
    </row>
    <row r="254" customFormat="false" ht="15" hidden="false" customHeight="false" outlineLevel="0" collapsed="false">
      <c r="A254" s="7" t="n">
        <f aca="false">A253+1</f>
        <v>253</v>
      </c>
      <c r="B254" s="7" t="n">
        <f aca="false">RANDBETWEEN(30,50)</f>
        <v>47</v>
      </c>
      <c r="C254" s="7" t="n">
        <f aca="false">RANDBETWEEN(0,1)</f>
        <v>1</v>
      </c>
      <c r="D254" s="7" t="str">
        <f aca="false">IF(C254=0, "Homme", "Femme")</f>
        <v>Femme</v>
      </c>
      <c r="E254" s="7" t="n">
        <f aca="false">RANDBETWEEN(1,3)</f>
        <v>1</v>
      </c>
      <c r="F254" s="7" t="str">
        <f aca="false">IF(E254=1, "Favorable", IF(E254=2, "Défavorable", "Ne se prononce pas"))</f>
        <v>Favorable</v>
      </c>
    </row>
    <row r="255" customFormat="false" ht="15" hidden="false" customHeight="false" outlineLevel="0" collapsed="false">
      <c r="A255" s="7" t="n">
        <f aca="false">A254+1</f>
        <v>254</v>
      </c>
      <c r="B255" s="7" t="n">
        <f aca="false">RANDBETWEEN(30,50)</f>
        <v>49</v>
      </c>
      <c r="C255" s="7" t="n">
        <f aca="false">RANDBETWEEN(0,1)</f>
        <v>1</v>
      </c>
      <c r="D255" s="7" t="str">
        <f aca="false">IF(C255=0, "Homme", "Femme")</f>
        <v>Femme</v>
      </c>
      <c r="E255" s="7" t="n">
        <f aca="false">RANDBETWEEN(1,3)</f>
        <v>2</v>
      </c>
      <c r="F255" s="7" t="str">
        <f aca="false">IF(E255=1, "Favorable", IF(E255=2, "Défavorable", "Ne se prononce pas"))</f>
        <v>Défavorable</v>
      </c>
    </row>
    <row r="256" customFormat="false" ht="15" hidden="false" customHeight="false" outlineLevel="0" collapsed="false">
      <c r="A256" s="7" t="n">
        <f aca="false">A255+1</f>
        <v>255</v>
      </c>
      <c r="B256" s="7" t="n">
        <f aca="false">RANDBETWEEN(30,50)</f>
        <v>49</v>
      </c>
      <c r="C256" s="7" t="n">
        <f aca="false">RANDBETWEEN(0,1)</f>
        <v>0</v>
      </c>
      <c r="D256" s="7" t="str">
        <f aca="false">IF(C256=0, "Homme", "Femme")</f>
        <v>Homme</v>
      </c>
      <c r="E256" s="7" t="n">
        <f aca="false">RANDBETWEEN(1,3)</f>
        <v>3</v>
      </c>
      <c r="F256" s="7" t="str">
        <f aca="false">IF(E256=1, "Favorable", IF(E256=2, "Défavorable", "Ne se prononce pas"))</f>
        <v>Ne se prononce pas</v>
      </c>
    </row>
    <row r="257" customFormat="false" ht="15" hidden="false" customHeight="false" outlineLevel="0" collapsed="false">
      <c r="A257" s="7" t="n">
        <f aca="false">A256+1</f>
        <v>256</v>
      </c>
      <c r="B257" s="7" t="n">
        <f aca="false">RANDBETWEEN(30,50)</f>
        <v>34</v>
      </c>
      <c r="C257" s="7" t="n">
        <f aca="false">RANDBETWEEN(0,1)</f>
        <v>0</v>
      </c>
      <c r="D257" s="7" t="str">
        <f aca="false">IF(C257=0, "Homme", "Femme")</f>
        <v>Homme</v>
      </c>
      <c r="E257" s="7" t="n">
        <f aca="false">RANDBETWEEN(1,3)</f>
        <v>3</v>
      </c>
      <c r="F257" s="7" t="str">
        <f aca="false">IF(E257=1, "Favorable", IF(E257=2, "Défavorable", "Ne se prononce pas"))</f>
        <v>Ne se prononce pas</v>
      </c>
    </row>
    <row r="258" customFormat="false" ht="15" hidden="false" customHeight="false" outlineLevel="0" collapsed="false">
      <c r="A258" s="7" t="n">
        <f aca="false">A257+1</f>
        <v>257</v>
      </c>
      <c r="B258" s="7" t="n">
        <f aca="false">RANDBETWEEN(30,50)</f>
        <v>34</v>
      </c>
      <c r="C258" s="7" t="n">
        <f aca="false">RANDBETWEEN(0,1)</f>
        <v>1</v>
      </c>
      <c r="D258" s="7" t="str">
        <f aca="false">IF(C258=0, "Homme", "Femme")</f>
        <v>Femme</v>
      </c>
      <c r="E258" s="7" t="n">
        <f aca="false">RANDBETWEEN(1,3)</f>
        <v>3</v>
      </c>
      <c r="F258" s="7" t="str">
        <f aca="false">IF(E258=1, "Favorable", IF(E258=2, "Défavorable", "Ne se prononce pas"))</f>
        <v>Ne se prononce pas</v>
      </c>
    </row>
    <row r="259" customFormat="false" ht="15" hidden="false" customHeight="false" outlineLevel="0" collapsed="false">
      <c r="A259" s="7" t="n">
        <f aca="false">A258+1</f>
        <v>258</v>
      </c>
      <c r="B259" s="7" t="n">
        <f aca="false">RANDBETWEEN(30,50)</f>
        <v>40</v>
      </c>
      <c r="C259" s="7" t="n">
        <f aca="false">RANDBETWEEN(0,1)</f>
        <v>1</v>
      </c>
      <c r="D259" s="7" t="str">
        <f aca="false">IF(C259=0, "Homme", "Femme")</f>
        <v>Femme</v>
      </c>
      <c r="E259" s="7" t="n">
        <f aca="false">RANDBETWEEN(1,3)</f>
        <v>1</v>
      </c>
      <c r="F259" s="7" t="str">
        <f aca="false">IF(E259=1, "Favorable", IF(E259=2, "Défavorable", "Ne se prononce pas"))</f>
        <v>Favorable</v>
      </c>
    </row>
    <row r="260" customFormat="false" ht="15" hidden="false" customHeight="false" outlineLevel="0" collapsed="false">
      <c r="A260" s="7" t="n">
        <f aca="false">A259+1</f>
        <v>259</v>
      </c>
      <c r="B260" s="7" t="n">
        <f aca="false">RANDBETWEEN(30,50)</f>
        <v>31</v>
      </c>
      <c r="C260" s="7" t="n">
        <f aca="false">RANDBETWEEN(0,1)</f>
        <v>1</v>
      </c>
      <c r="D260" s="7" t="str">
        <f aca="false">IF(C260=0, "Homme", "Femme")</f>
        <v>Femme</v>
      </c>
      <c r="E260" s="7" t="n">
        <f aca="false">RANDBETWEEN(1,3)</f>
        <v>1</v>
      </c>
      <c r="F260" s="7" t="str">
        <f aca="false">IF(E260=1, "Favorable", IF(E260=2, "Défavorable", "Ne se prononce pas"))</f>
        <v>Favorable</v>
      </c>
    </row>
    <row r="261" customFormat="false" ht="15" hidden="false" customHeight="false" outlineLevel="0" collapsed="false">
      <c r="A261" s="7" t="n">
        <f aca="false">A260+1</f>
        <v>260</v>
      </c>
      <c r="B261" s="7" t="n">
        <f aca="false">RANDBETWEEN(30,50)</f>
        <v>39</v>
      </c>
      <c r="C261" s="7" t="n">
        <f aca="false">RANDBETWEEN(0,1)</f>
        <v>1</v>
      </c>
      <c r="D261" s="7" t="str">
        <f aca="false">IF(C261=0, "Homme", "Femme")</f>
        <v>Femme</v>
      </c>
      <c r="E261" s="7" t="n">
        <f aca="false">RANDBETWEEN(1,3)</f>
        <v>1</v>
      </c>
      <c r="F261" s="7" t="str">
        <f aca="false">IF(E261=1, "Favorable", IF(E261=2, "Défavorable", "Ne se prononce pas"))</f>
        <v>Favorable</v>
      </c>
    </row>
    <row r="262" customFormat="false" ht="15" hidden="false" customHeight="false" outlineLevel="0" collapsed="false">
      <c r="A262" s="7" t="n">
        <f aca="false">A261+1</f>
        <v>261</v>
      </c>
      <c r="B262" s="7" t="n">
        <f aca="false">RANDBETWEEN(30,50)</f>
        <v>48</v>
      </c>
      <c r="C262" s="7" t="n">
        <f aca="false">RANDBETWEEN(0,1)</f>
        <v>0</v>
      </c>
      <c r="D262" s="7" t="str">
        <f aca="false">IF(C262=0, "Homme", "Femme")</f>
        <v>Homme</v>
      </c>
      <c r="E262" s="7" t="n">
        <f aca="false">RANDBETWEEN(1,3)</f>
        <v>3</v>
      </c>
      <c r="F262" s="7" t="str">
        <f aca="false">IF(E262=1, "Favorable", IF(E262=2, "Défavorable", "Ne se prononce pas"))</f>
        <v>Ne se prononce pas</v>
      </c>
    </row>
    <row r="263" customFormat="false" ht="15" hidden="false" customHeight="false" outlineLevel="0" collapsed="false">
      <c r="A263" s="7" t="n">
        <f aca="false">A262+1</f>
        <v>262</v>
      </c>
      <c r="B263" s="7" t="n">
        <f aca="false">RANDBETWEEN(30,50)</f>
        <v>49</v>
      </c>
      <c r="C263" s="7" t="n">
        <f aca="false">RANDBETWEEN(0,1)</f>
        <v>1</v>
      </c>
      <c r="D263" s="7" t="str">
        <f aca="false">IF(C263=0, "Homme", "Femme")</f>
        <v>Femme</v>
      </c>
      <c r="E263" s="7" t="n">
        <f aca="false">RANDBETWEEN(1,3)</f>
        <v>1</v>
      </c>
      <c r="F263" s="7" t="str">
        <f aca="false">IF(E263=1, "Favorable", IF(E263=2, "Défavorable", "Ne se prononce pas"))</f>
        <v>Favorable</v>
      </c>
    </row>
    <row r="264" customFormat="false" ht="15" hidden="false" customHeight="false" outlineLevel="0" collapsed="false">
      <c r="A264" s="7" t="n">
        <f aca="false">A263+1</f>
        <v>263</v>
      </c>
      <c r="B264" s="7" t="n">
        <f aca="false">RANDBETWEEN(30,50)</f>
        <v>49</v>
      </c>
      <c r="C264" s="7" t="n">
        <f aca="false">RANDBETWEEN(0,1)</f>
        <v>0</v>
      </c>
      <c r="D264" s="7" t="str">
        <f aca="false">IF(C264=0, "Homme", "Femme")</f>
        <v>Homme</v>
      </c>
      <c r="E264" s="7" t="n">
        <f aca="false">RANDBETWEEN(1,3)</f>
        <v>1</v>
      </c>
      <c r="F264" s="7" t="str">
        <f aca="false">IF(E264=1, "Favorable", IF(E264=2, "Défavorable", "Ne se prononce pas"))</f>
        <v>Favorable</v>
      </c>
    </row>
    <row r="265" customFormat="false" ht="15" hidden="false" customHeight="false" outlineLevel="0" collapsed="false">
      <c r="A265" s="7" t="n">
        <f aca="false">A264+1</f>
        <v>264</v>
      </c>
      <c r="B265" s="7" t="n">
        <f aca="false">RANDBETWEEN(30,50)</f>
        <v>38</v>
      </c>
      <c r="C265" s="7" t="n">
        <f aca="false">RANDBETWEEN(0,1)</f>
        <v>0</v>
      </c>
      <c r="D265" s="7" t="str">
        <f aca="false">IF(C265=0, "Homme", "Femme")</f>
        <v>Homme</v>
      </c>
      <c r="E265" s="7" t="n">
        <f aca="false">RANDBETWEEN(1,3)</f>
        <v>3</v>
      </c>
      <c r="F265" s="7" t="str">
        <f aca="false">IF(E265=1, "Favorable", IF(E265=2, "Défavorable", "Ne se prononce pas"))</f>
        <v>Ne se prononce pas</v>
      </c>
    </row>
    <row r="266" customFormat="false" ht="15" hidden="false" customHeight="false" outlineLevel="0" collapsed="false">
      <c r="A266" s="7" t="n">
        <f aca="false">A265+1</f>
        <v>265</v>
      </c>
      <c r="B266" s="7" t="n">
        <f aca="false">RANDBETWEEN(30,50)</f>
        <v>35</v>
      </c>
      <c r="C266" s="7" t="n">
        <f aca="false">RANDBETWEEN(0,1)</f>
        <v>1</v>
      </c>
      <c r="D266" s="7" t="str">
        <f aca="false">IF(C266=0, "Homme", "Femme")</f>
        <v>Femme</v>
      </c>
      <c r="E266" s="7" t="n">
        <f aca="false">RANDBETWEEN(1,3)</f>
        <v>3</v>
      </c>
      <c r="F266" s="7" t="str">
        <f aca="false">IF(E266=1, "Favorable", IF(E266=2, "Défavorable", "Ne se prononce pas"))</f>
        <v>Ne se prononce pas</v>
      </c>
    </row>
    <row r="267" customFormat="false" ht="15" hidden="false" customHeight="false" outlineLevel="0" collapsed="false">
      <c r="A267" s="7" t="n">
        <f aca="false">A266+1</f>
        <v>266</v>
      </c>
      <c r="B267" s="7" t="n">
        <f aca="false">RANDBETWEEN(30,50)</f>
        <v>31</v>
      </c>
      <c r="C267" s="7" t="n">
        <f aca="false">RANDBETWEEN(0,1)</f>
        <v>0</v>
      </c>
      <c r="D267" s="7" t="str">
        <f aca="false">IF(C267=0, "Homme", "Femme")</f>
        <v>Homme</v>
      </c>
      <c r="E267" s="7" t="n">
        <f aca="false">RANDBETWEEN(1,3)</f>
        <v>3</v>
      </c>
      <c r="F267" s="7" t="str">
        <f aca="false">IF(E267=1, "Favorable", IF(E267=2, "Défavorable", "Ne se prononce pas"))</f>
        <v>Ne se prononce pas</v>
      </c>
    </row>
    <row r="268" customFormat="false" ht="15" hidden="false" customHeight="false" outlineLevel="0" collapsed="false">
      <c r="A268" s="7" t="n">
        <f aca="false">A267+1</f>
        <v>267</v>
      </c>
      <c r="B268" s="7" t="n">
        <f aca="false">RANDBETWEEN(30,50)</f>
        <v>49</v>
      </c>
      <c r="C268" s="7" t="n">
        <f aca="false">RANDBETWEEN(0,1)</f>
        <v>0</v>
      </c>
      <c r="D268" s="7" t="str">
        <f aca="false">IF(C268=0, "Homme", "Femme")</f>
        <v>Homme</v>
      </c>
      <c r="E268" s="7" t="n">
        <f aca="false">RANDBETWEEN(1,3)</f>
        <v>2</v>
      </c>
      <c r="F268" s="7" t="str">
        <f aca="false">IF(E268=1, "Favorable", IF(E268=2, "Défavorable", "Ne se prononce pas"))</f>
        <v>Défavorable</v>
      </c>
    </row>
    <row r="269" customFormat="false" ht="15" hidden="false" customHeight="false" outlineLevel="0" collapsed="false">
      <c r="A269" s="7" t="n">
        <f aca="false">A268+1</f>
        <v>268</v>
      </c>
      <c r="B269" s="7" t="n">
        <f aca="false">RANDBETWEEN(30,50)</f>
        <v>31</v>
      </c>
      <c r="C269" s="7" t="n">
        <f aca="false">RANDBETWEEN(0,1)</f>
        <v>1</v>
      </c>
      <c r="D269" s="7" t="str">
        <f aca="false">IF(C269=0, "Homme", "Femme")</f>
        <v>Femme</v>
      </c>
      <c r="E269" s="7" t="n">
        <f aca="false">RANDBETWEEN(1,3)</f>
        <v>3</v>
      </c>
      <c r="F269" s="7" t="str">
        <f aca="false">IF(E269=1, "Favorable", IF(E269=2, "Défavorable", "Ne se prononce pas"))</f>
        <v>Ne se prononce pas</v>
      </c>
    </row>
    <row r="270" customFormat="false" ht="15" hidden="false" customHeight="false" outlineLevel="0" collapsed="false">
      <c r="A270" s="7" t="n">
        <f aca="false">A269+1</f>
        <v>269</v>
      </c>
      <c r="B270" s="7" t="n">
        <f aca="false">RANDBETWEEN(30,50)</f>
        <v>44</v>
      </c>
      <c r="C270" s="7" t="n">
        <f aca="false">RANDBETWEEN(0,1)</f>
        <v>1</v>
      </c>
      <c r="D270" s="7" t="str">
        <f aca="false">IF(C270=0, "Homme", "Femme")</f>
        <v>Femme</v>
      </c>
      <c r="E270" s="7" t="n">
        <f aca="false">RANDBETWEEN(1,3)</f>
        <v>3</v>
      </c>
      <c r="F270" s="7" t="str">
        <f aca="false">IF(E270=1, "Favorable", IF(E270=2, "Défavorable", "Ne se prononce pas"))</f>
        <v>Ne se prononce pas</v>
      </c>
    </row>
    <row r="271" customFormat="false" ht="15" hidden="false" customHeight="false" outlineLevel="0" collapsed="false">
      <c r="A271" s="7" t="n">
        <f aca="false">A270+1</f>
        <v>270</v>
      </c>
      <c r="B271" s="7" t="n">
        <f aca="false">RANDBETWEEN(30,50)</f>
        <v>38</v>
      </c>
      <c r="C271" s="7" t="n">
        <f aca="false">RANDBETWEEN(0,1)</f>
        <v>0</v>
      </c>
      <c r="D271" s="7" t="str">
        <f aca="false">IF(C271=0, "Homme", "Femme")</f>
        <v>Homme</v>
      </c>
      <c r="E271" s="7" t="n">
        <f aca="false">RANDBETWEEN(1,3)</f>
        <v>1</v>
      </c>
      <c r="F271" s="7" t="str">
        <f aca="false">IF(E271=1, "Favorable", IF(E271=2, "Défavorable", "Ne se prononce pas"))</f>
        <v>Favorable</v>
      </c>
    </row>
    <row r="272" customFormat="false" ht="15" hidden="false" customHeight="false" outlineLevel="0" collapsed="false">
      <c r="A272" s="7" t="n">
        <f aca="false">A271+1</f>
        <v>271</v>
      </c>
      <c r="B272" s="7" t="n">
        <f aca="false">RANDBETWEEN(30,50)</f>
        <v>39</v>
      </c>
      <c r="C272" s="7" t="n">
        <f aca="false">RANDBETWEEN(0,1)</f>
        <v>0</v>
      </c>
      <c r="D272" s="7" t="str">
        <f aca="false">IF(C272=0, "Homme", "Femme")</f>
        <v>Homme</v>
      </c>
      <c r="E272" s="7" t="n">
        <f aca="false">RANDBETWEEN(1,3)</f>
        <v>1</v>
      </c>
      <c r="F272" s="7" t="str">
        <f aca="false">IF(E272=1, "Favorable", IF(E272=2, "Défavorable", "Ne se prononce pas"))</f>
        <v>Favorable</v>
      </c>
    </row>
    <row r="273" customFormat="false" ht="15" hidden="false" customHeight="false" outlineLevel="0" collapsed="false">
      <c r="A273" s="7" t="n">
        <f aca="false">A272+1</f>
        <v>272</v>
      </c>
      <c r="B273" s="7" t="n">
        <f aca="false">RANDBETWEEN(30,50)</f>
        <v>48</v>
      </c>
      <c r="C273" s="7" t="n">
        <f aca="false">RANDBETWEEN(0,1)</f>
        <v>1</v>
      </c>
      <c r="D273" s="7" t="str">
        <f aca="false">IF(C273=0, "Homme", "Femme")</f>
        <v>Femme</v>
      </c>
      <c r="E273" s="7" t="n">
        <f aca="false">RANDBETWEEN(1,3)</f>
        <v>1</v>
      </c>
      <c r="F273" s="7" t="str">
        <f aca="false">IF(E273=1, "Favorable", IF(E273=2, "Défavorable", "Ne se prononce pas"))</f>
        <v>Favorable</v>
      </c>
    </row>
    <row r="274" customFormat="false" ht="15" hidden="false" customHeight="false" outlineLevel="0" collapsed="false">
      <c r="A274" s="7" t="n">
        <f aca="false">A273+1</f>
        <v>273</v>
      </c>
      <c r="B274" s="7" t="n">
        <f aca="false">RANDBETWEEN(30,50)</f>
        <v>30</v>
      </c>
      <c r="C274" s="7" t="n">
        <f aca="false">RANDBETWEEN(0,1)</f>
        <v>1</v>
      </c>
      <c r="D274" s="7" t="str">
        <f aca="false">IF(C274=0, "Homme", "Femme")</f>
        <v>Femme</v>
      </c>
      <c r="E274" s="7" t="n">
        <f aca="false">RANDBETWEEN(1,3)</f>
        <v>3</v>
      </c>
      <c r="F274" s="7" t="str">
        <f aca="false">IF(E274=1, "Favorable", IF(E274=2, "Défavorable", "Ne se prononce pas"))</f>
        <v>Ne se prononce pas</v>
      </c>
    </row>
    <row r="275" customFormat="false" ht="15" hidden="false" customHeight="false" outlineLevel="0" collapsed="false">
      <c r="A275" s="7" t="n">
        <f aca="false">A274+1</f>
        <v>274</v>
      </c>
      <c r="B275" s="7" t="n">
        <f aca="false">RANDBETWEEN(30,50)</f>
        <v>50</v>
      </c>
      <c r="C275" s="7" t="n">
        <f aca="false">RANDBETWEEN(0,1)</f>
        <v>0</v>
      </c>
      <c r="D275" s="7" t="str">
        <f aca="false">IF(C275=0, "Homme", "Femme")</f>
        <v>Homme</v>
      </c>
      <c r="E275" s="7" t="n">
        <f aca="false">RANDBETWEEN(1,3)</f>
        <v>1</v>
      </c>
      <c r="F275" s="7" t="str">
        <f aca="false">IF(E275=1, "Favorable", IF(E275=2, "Défavorable", "Ne se prononce pas"))</f>
        <v>Favorable</v>
      </c>
    </row>
    <row r="276" customFormat="false" ht="15" hidden="false" customHeight="false" outlineLevel="0" collapsed="false">
      <c r="A276" s="7" t="n">
        <f aca="false">A275+1</f>
        <v>275</v>
      </c>
      <c r="B276" s="7" t="n">
        <f aca="false">RANDBETWEEN(30,50)</f>
        <v>43</v>
      </c>
      <c r="C276" s="7" t="n">
        <f aca="false">RANDBETWEEN(0,1)</f>
        <v>0</v>
      </c>
      <c r="D276" s="7" t="str">
        <f aca="false">IF(C276=0, "Homme", "Femme")</f>
        <v>Homme</v>
      </c>
      <c r="E276" s="7" t="n">
        <f aca="false">RANDBETWEEN(1,3)</f>
        <v>1</v>
      </c>
      <c r="F276" s="7" t="str">
        <f aca="false">IF(E276=1, "Favorable", IF(E276=2, "Défavorable", "Ne se prononce pas"))</f>
        <v>Favorable</v>
      </c>
    </row>
    <row r="277" customFormat="false" ht="15" hidden="false" customHeight="false" outlineLevel="0" collapsed="false">
      <c r="A277" s="7" t="n">
        <f aca="false">A276+1</f>
        <v>276</v>
      </c>
      <c r="B277" s="7" t="n">
        <f aca="false">RANDBETWEEN(30,50)</f>
        <v>44</v>
      </c>
      <c r="C277" s="7" t="n">
        <f aca="false">RANDBETWEEN(0,1)</f>
        <v>0</v>
      </c>
      <c r="D277" s="7" t="str">
        <f aca="false">IF(C277=0, "Homme", "Femme")</f>
        <v>Homme</v>
      </c>
      <c r="E277" s="7" t="n">
        <f aca="false">RANDBETWEEN(1,3)</f>
        <v>3</v>
      </c>
      <c r="F277" s="7" t="str">
        <f aca="false">IF(E277=1, "Favorable", IF(E277=2, "Défavorable", "Ne se prononce pas"))</f>
        <v>Ne se prononce pas</v>
      </c>
    </row>
    <row r="278" customFormat="false" ht="15" hidden="false" customHeight="false" outlineLevel="0" collapsed="false">
      <c r="A278" s="7" t="n">
        <f aca="false">A277+1</f>
        <v>277</v>
      </c>
      <c r="B278" s="7" t="n">
        <f aca="false">RANDBETWEEN(30,50)</f>
        <v>38</v>
      </c>
      <c r="C278" s="7" t="n">
        <f aca="false">RANDBETWEEN(0,1)</f>
        <v>1</v>
      </c>
      <c r="D278" s="7" t="str">
        <f aca="false">IF(C278=0, "Homme", "Femme")</f>
        <v>Femme</v>
      </c>
      <c r="E278" s="7" t="n">
        <f aca="false">RANDBETWEEN(1,3)</f>
        <v>1</v>
      </c>
      <c r="F278" s="7" t="str">
        <f aca="false">IF(E278=1, "Favorable", IF(E278=2, "Défavorable", "Ne se prononce pas"))</f>
        <v>Favorable</v>
      </c>
    </row>
    <row r="279" customFormat="false" ht="15" hidden="false" customHeight="false" outlineLevel="0" collapsed="false">
      <c r="A279" s="7" t="n">
        <f aca="false">A278+1</f>
        <v>278</v>
      </c>
      <c r="B279" s="7" t="n">
        <f aca="false">RANDBETWEEN(30,50)</f>
        <v>39</v>
      </c>
      <c r="C279" s="7" t="n">
        <f aca="false">RANDBETWEEN(0,1)</f>
        <v>0</v>
      </c>
      <c r="D279" s="7" t="str">
        <f aca="false">IF(C279=0, "Homme", "Femme")</f>
        <v>Homme</v>
      </c>
      <c r="E279" s="7" t="n">
        <f aca="false">RANDBETWEEN(1,3)</f>
        <v>2</v>
      </c>
      <c r="F279" s="7" t="str">
        <f aca="false">IF(E279=1, "Favorable", IF(E279=2, "Défavorable", "Ne se prononce pas"))</f>
        <v>Défavorable</v>
      </c>
    </row>
    <row r="280" customFormat="false" ht="15" hidden="false" customHeight="false" outlineLevel="0" collapsed="false">
      <c r="A280" s="7" t="n">
        <f aca="false">A279+1</f>
        <v>279</v>
      </c>
      <c r="B280" s="7" t="n">
        <f aca="false">RANDBETWEEN(30,50)</f>
        <v>41</v>
      </c>
      <c r="C280" s="7" t="n">
        <f aca="false">RANDBETWEEN(0,1)</f>
        <v>1</v>
      </c>
      <c r="D280" s="7" t="str">
        <f aca="false">IF(C280=0, "Homme", "Femme")</f>
        <v>Femme</v>
      </c>
      <c r="E280" s="7" t="n">
        <f aca="false">RANDBETWEEN(1,3)</f>
        <v>1</v>
      </c>
      <c r="F280" s="7" t="str">
        <f aca="false">IF(E280=1, "Favorable", IF(E280=2, "Défavorable", "Ne se prononce pas"))</f>
        <v>Favorable</v>
      </c>
    </row>
    <row r="281" customFormat="false" ht="15" hidden="false" customHeight="false" outlineLevel="0" collapsed="false">
      <c r="A281" s="7" t="n">
        <f aca="false">A280+1</f>
        <v>280</v>
      </c>
      <c r="B281" s="7" t="n">
        <f aca="false">RANDBETWEEN(30,50)</f>
        <v>36</v>
      </c>
      <c r="C281" s="7" t="n">
        <f aca="false">RANDBETWEEN(0,1)</f>
        <v>1</v>
      </c>
      <c r="D281" s="7" t="str">
        <f aca="false">IF(C281=0, "Homme", "Femme")</f>
        <v>Femme</v>
      </c>
      <c r="E281" s="7" t="n">
        <f aca="false">RANDBETWEEN(1,3)</f>
        <v>1</v>
      </c>
      <c r="F281" s="7" t="str">
        <f aca="false">IF(E281=1, "Favorable", IF(E281=2, "Défavorable", "Ne se prononce pas"))</f>
        <v>Favorable</v>
      </c>
    </row>
    <row r="282" customFormat="false" ht="15" hidden="false" customHeight="false" outlineLevel="0" collapsed="false">
      <c r="A282" s="7" t="n">
        <f aca="false">A281+1</f>
        <v>281</v>
      </c>
      <c r="B282" s="7" t="n">
        <f aca="false">RANDBETWEEN(30,50)</f>
        <v>31</v>
      </c>
      <c r="C282" s="7" t="n">
        <f aca="false">RANDBETWEEN(0,1)</f>
        <v>0</v>
      </c>
      <c r="D282" s="7" t="str">
        <f aca="false">IF(C282=0, "Homme", "Femme")</f>
        <v>Homme</v>
      </c>
      <c r="E282" s="7" t="n">
        <f aca="false">RANDBETWEEN(1,3)</f>
        <v>2</v>
      </c>
      <c r="F282" s="7" t="str">
        <f aca="false">IF(E282=1, "Favorable", IF(E282=2, "Défavorable", "Ne se prononce pas"))</f>
        <v>Défavorable</v>
      </c>
    </row>
    <row r="283" customFormat="false" ht="15" hidden="false" customHeight="false" outlineLevel="0" collapsed="false">
      <c r="A283" s="7" t="n">
        <f aca="false">A282+1</f>
        <v>282</v>
      </c>
      <c r="B283" s="7" t="n">
        <f aca="false">RANDBETWEEN(30,50)</f>
        <v>32</v>
      </c>
      <c r="C283" s="7" t="n">
        <f aca="false">RANDBETWEEN(0,1)</f>
        <v>0</v>
      </c>
      <c r="D283" s="7" t="str">
        <f aca="false">IF(C283=0, "Homme", "Femme")</f>
        <v>Homme</v>
      </c>
      <c r="E283" s="7" t="n">
        <f aca="false">RANDBETWEEN(1,3)</f>
        <v>3</v>
      </c>
      <c r="F283" s="7" t="str">
        <f aca="false">IF(E283=1, "Favorable", IF(E283=2, "Défavorable", "Ne se prononce pas"))</f>
        <v>Ne se prononce pas</v>
      </c>
    </row>
    <row r="284" customFormat="false" ht="15" hidden="false" customHeight="false" outlineLevel="0" collapsed="false">
      <c r="A284" s="7" t="n">
        <f aca="false">A283+1</f>
        <v>283</v>
      </c>
      <c r="B284" s="7" t="n">
        <f aca="false">RANDBETWEEN(30,50)</f>
        <v>35</v>
      </c>
      <c r="C284" s="7" t="n">
        <f aca="false">RANDBETWEEN(0,1)</f>
        <v>0</v>
      </c>
      <c r="D284" s="7" t="str">
        <f aca="false">IF(C284=0, "Homme", "Femme")</f>
        <v>Homme</v>
      </c>
      <c r="E284" s="7" t="n">
        <f aca="false">RANDBETWEEN(1,3)</f>
        <v>3</v>
      </c>
      <c r="F284" s="7" t="str">
        <f aca="false">IF(E284=1, "Favorable", IF(E284=2, "Défavorable", "Ne se prononce pas"))</f>
        <v>Ne se prononce pas</v>
      </c>
    </row>
    <row r="285" customFormat="false" ht="15" hidden="false" customHeight="false" outlineLevel="0" collapsed="false">
      <c r="A285" s="7" t="n">
        <f aca="false">A284+1</f>
        <v>284</v>
      </c>
      <c r="B285" s="7" t="n">
        <f aca="false">RANDBETWEEN(30,50)</f>
        <v>43</v>
      </c>
      <c r="C285" s="7" t="n">
        <f aca="false">RANDBETWEEN(0,1)</f>
        <v>0</v>
      </c>
      <c r="D285" s="7" t="str">
        <f aca="false">IF(C285=0, "Homme", "Femme")</f>
        <v>Homme</v>
      </c>
      <c r="E285" s="7" t="n">
        <f aca="false">RANDBETWEEN(1,3)</f>
        <v>1</v>
      </c>
      <c r="F285" s="7" t="str">
        <f aca="false">IF(E285=1, "Favorable", IF(E285=2, "Défavorable", "Ne se prononce pas"))</f>
        <v>Favorable</v>
      </c>
    </row>
    <row r="286" customFormat="false" ht="15" hidden="false" customHeight="false" outlineLevel="0" collapsed="false">
      <c r="A286" s="7" t="n">
        <f aca="false">A285+1</f>
        <v>285</v>
      </c>
      <c r="B286" s="7" t="n">
        <f aca="false">RANDBETWEEN(30,50)</f>
        <v>39</v>
      </c>
      <c r="C286" s="7" t="n">
        <f aca="false">RANDBETWEEN(0,1)</f>
        <v>1</v>
      </c>
      <c r="D286" s="7" t="str">
        <f aca="false">IF(C286=0, "Homme", "Femme")</f>
        <v>Femme</v>
      </c>
      <c r="E286" s="7" t="n">
        <f aca="false">RANDBETWEEN(1,3)</f>
        <v>1</v>
      </c>
      <c r="F286" s="7" t="str">
        <f aca="false">IF(E286=1, "Favorable", IF(E286=2, "Défavorable", "Ne se prononce pas"))</f>
        <v>Favorable</v>
      </c>
    </row>
    <row r="287" customFormat="false" ht="15" hidden="false" customHeight="false" outlineLevel="0" collapsed="false">
      <c r="A287" s="7" t="n">
        <f aca="false">A286+1</f>
        <v>286</v>
      </c>
      <c r="B287" s="7" t="n">
        <f aca="false">RANDBETWEEN(30,50)</f>
        <v>43</v>
      </c>
      <c r="C287" s="7" t="n">
        <f aca="false">RANDBETWEEN(0,1)</f>
        <v>1</v>
      </c>
      <c r="D287" s="7" t="str">
        <f aca="false">IF(C287=0, "Homme", "Femme")</f>
        <v>Femme</v>
      </c>
      <c r="E287" s="7" t="n">
        <f aca="false">RANDBETWEEN(1,3)</f>
        <v>1</v>
      </c>
      <c r="F287" s="7" t="str">
        <f aca="false">IF(E287=1, "Favorable", IF(E287=2, "Défavorable", "Ne se prononce pas"))</f>
        <v>Favorable</v>
      </c>
    </row>
    <row r="288" customFormat="false" ht="15" hidden="false" customHeight="false" outlineLevel="0" collapsed="false">
      <c r="A288" s="7" t="n">
        <f aca="false">A287+1</f>
        <v>287</v>
      </c>
      <c r="B288" s="7" t="n">
        <f aca="false">RANDBETWEEN(30,50)</f>
        <v>39</v>
      </c>
      <c r="C288" s="7" t="n">
        <f aca="false">RANDBETWEEN(0,1)</f>
        <v>0</v>
      </c>
      <c r="D288" s="7" t="str">
        <f aca="false">IF(C288=0, "Homme", "Femme")</f>
        <v>Homme</v>
      </c>
      <c r="E288" s="7" t="n">
        <f aca="false">RANDBETWEEN(1,3)</f>
        <v>1</v>
      </c>
      <c r="F288" s="7" t="str">
        <f aca="false">IF(E288=1, "Favorable", IF(E288=2, "Défavorable", "Ne se prononce pas"))</f>
        <v>Favorable</v>
      </c>
    </row>
    <row r="289" customFormat="false" ht="15" hidden="false" customHeight="false" outlineLevel="0" collapsed="false">
      <c r="A289" s="7" t="n">
        <f aca="false">A288+1</f>
        <v>288</v>
      </c>
      <c r="B289" s="7" t="n">
        <f aca="false">RANDBETWEEN(30,50)</f>
        <v>37</v>
      </c>
      <c r="C289" s="7" t="n">
        <f aca="false">RANDBETWEEN(0,1)</f>
        <v>1</v>
      </c>
      <c r="D289" s="7" t="str">
        <f aca="false">IF(C289=0, "Homme", "Femme")</f>
        <v>Femme</v>
      </c>
      <c r="E289" s="7" t="n">
        <f aca="false">RANDBETWEEN(1,3)</f>
        <v>1</v>
      </c>
      <c r="F289" s="7" t="str">
        <f aca="false">IF(E289=1, "Favorable", IF(E289=2, "Défavorable", "Ne se prononce pas"))</f>
        <v>Favorable</v>
      </c>
    </row>
    <row r="290" customFormat="false" ht="15" hidden="false" customHeight="false" outlineLevel="0" collapsed="false">
      <c r="A290" s="7" t="n">
        <f aca="false">A289+1</f>
        <v>289</v>
      </c>
      <c r="B290" s="7" t="n">
        <f aca="false">RANDBETWEEN(30,50)</f>
        <v>30</v>
      </c>
      <c r="C290" s="7" t="n">
        <f aca="false">RANDBETWEEN(0,1)</f>
        <v>0</v>
      </c>
      <c r="D290" s="7" t="str">
        <f aca="false">IF(C290=0, "Homme", "Femme")</f>
        <v>Homme</v>
      </c>
      <c r="E290" s="7" t="n">
        <f aca="false">RANDBETWEEN(1,3)</f>
        <v>2</v>
      </c>
      <c r="F290" s="7" t="str">
        <f aca="false">IF(E290=1, "Favorable", IF(E290=2, "Défavorable", "Ne se prononce pas"))</f>
        <v>Défavorable</v>
      </c>
    </row>
    <row r="291" customFormat="false" ht="15" hidden="false" customHeight="false" outlineLevel="0" collapsed="false">
      <c r="A291" s="7" t="n">
        <f aca="false">A290+1</f>
        <v>290</v>
      </c>
      <c r="B291" s="7" t="n">
        <f aca="false">RANDBETWEEN(30,50)</f>
        <v>46</v>
      </c>
      <c r="C291" s="7" t="n">
        <f aca="false">RANDBETWEEN(0,1)</f>
        <v>1</v>
      </c>
      <c r="D291" s="7" t="str">
        <f aca="false">IF(C291=0, "Homme", "Femme")</f>
        <v>Femme</v>
      </c>
      <c r="E291" s="7" t="n">
        <f aca="false">RANDBETWEEN(1,3)</f>
        <v>1</v>
      </c>
      <c r="F291" s="7" t="str">
        <f aca="false">IF(E291=1, "Favorable", IF(E291=2, "Défavorable", "Ne se prononce pas"))</f>
        <v>Favorable</v>
      </c>
    </row>
    <row r="292" customFormat="false" ht="15" hidden="false" customHeight="false" outlineLevel="0" collapsed="false">
      <c r="A292" s="7" t="n">
        <f aca="false">A291+1</f>
        <v>291</v>
      </c>
      <c r="B292" s="7" t="n">
        <f aca="false">RANDBETWEEN(30,50)</f>
        <v>42</v>
      </c>
      <c r="C292" s="7" t="n">
        <f aca="false">RANDBETWEEN(0,1)</f>
        <v>1</v>
      </c>
      <c r="D292" s="7" t="str">
        <f aca="false">IF(C292=0, "Homme", "Femme")</f>
        <v>Femme</v>
      </c>
      <c r="E292" s="7" t="n">
        <f aca="false">RANDBETWEEN(1,3)</f>
        <v>2</v>
      </c>
      <c r="F292" s="7" t="str">
        <f aca="false">IF(E292=1, "Favorable", IF(E292=2, "Défavorable", "Ne se prononce pas"))</f>
        <v>Défavorable</v>
      </c>
    </row>
    <row r="293" customFormat="false" ht="15" hidden="false" customHeight="false" outlineLevel="0" collapsed="false">
      <c r="A293" s="7" t="n">
        <f aca="false">A292+1</f>
        <v>292</v>
      </c>
      <c r="B293" s="7" t="n">
        <f aca="false">RANDBETWEEN(30,50)</f>
        <v>48</v>
      </c>
      <c r="C293" s="7" t="n">
        <f aca="false">RANDBETWEEN(0,1)</f>
        <v>0</v>
      </c>
      <c r="D293" s="7" t="str">
        <f aca="false">IF(C293=0, "Homme", "Femme")</f>
        <v>Homme</v>
      </c>
      <c r="E293" s="7" t="n">
        <f aca="false">RANDBETWEEN(1,3)</f>
        <v>3</v>
      </c>
      <c r="F293" s="7" t="str">
        <f aca="false">IF(E293=1, "Favorable", IF(E293=2, "Défavorable", "Ne se prononce pas"))</f>
        <v>Ne se prononce pas</v>
      </c>
    </row>
    <row r="294" customFormat="false" ht="15" hidden="false" customHeight="false" outlineLevel="0" collapsed="false">
      <c r="A294" s="7" t="n">
        <f aca="false">A293+1</f>
        <v>293</v>
      </c>
      <c r="B294" s="7" t="n">
        <f aca="false">RANDBETWEEN(30,50)</f>
        <v>35</v>
      </c>
      <c r="C294" s="7" t="n">
        <f aca="false">RANDBETWEEN(0,1)</f>
        <v>1</v>
      </c>
      <c r="D294" s="7" t="str">
        <f aca="false">IF(C294=0, "Homme", "Femme")</f>
        <v>Femme</v>
      </c>
      <c r="E294" s="7" t="n">
        <f aca="false">RANDBETWEEN(1,3)</f>
        <v>3</v>
      </c>
      <c r="F294" s="7" t="str">
        <f aca="false">IF(E294=1, "Favorable", IF(E294=2, "Défavorable", "Ne se prononce pas"))</f>
        <v>Ne se prononce pas</v>
      </c>
    </row>
    <row r="295" customFormat="false" ht="15" hidden="false" customHeight="false" outlineLevel="0" collapsed="false">
      <c r="A295" s="7" t="n">
        <f aca="false">A294+1</f>
        <v>294</v>
      </c>
      <c r="B295" s="7" t="n">
        <f aca="false">RANDBETWEEN(30,50)</f>
        <v>30</v>
      </c>
      <c r="C295" s="7" t="n">
        <f aca="false">RANDBETWEEN(0,1)</f>
        <v>1</v>
      </c>
      <c r="D295" s="7" t="str">
        <f aca="false">IF(C295=0, "Homme", "Femme")</f>
        <v>Femme</v>
      </c>
      <c r="E295" s="7" t="n">
        <f aca="false">RANDBETWEEN(1,3)</f>
        <v>3</v>
      </c>
      <c r="F295" s="7" t="str">
        <f aca="false">IF(E295=1, "Favorable", IF(E295=2, "Défavorable", "Ne se prononce pas"))</f>
        <v>Ne se prononce pas</v>
      </c>
    </row>
    <row r="296" customFormat="false" ht="15" hidden="false" customHeight="false" outlineLevel="0" collapsed="false">
      <c r="A296" s="7" t="n">
        <f aca="false">A295+1</f>
        <v>295</v>
      </c>
      <c r="B296" s="7" t="n">
        <f aca="false">RANDBETWEEN(30,50)</f>
        <v>30</v>
      </c>
      <c r="C296" s="7" t="n">
        <f aca="false">RANDBETWEEN(0,1)</f>
        <v>0</v>
      </c>
      <c r="D296" s="7" t="str">
        <f aca="false">IF(C296=0, "Homme", "Femme")</f>
        <v>Homme</v>
      </c>
      <c r="E296" s="7" t="n">
        <f aca="false">RANDBETWEEN(1,3)</f>
        <v>1</v>
      </c>
      <c r="F296" s="7" t="str">
        <f aca="false">IF(E296=1, "Favorable", IF(E296=2, "Défavorable", "Ne se prononce pas"))</f>
        <v>Favorable</v>
      </c>
    </row>
    <row r="297" customFormat="false" ht="15" hidden="false" customHeight="false" outlineLevel="0" collapsed="false">
      <c r="A297" s="7" t="n">
        <f aca="false">A296+1</f>
        <v>296</v>
      </c>
      <c r="B297" s="7" t="n">
        <f aca="false">RANDBETWEEN(30,50)</f>
        <v>48</v>
      </c>
      <c r="C297" s="7" t="n">
        <f aca="false">RANDBETWEEN(0,1)</f>
        <v>0</v>
      </c>
      <c r="D297" s="7" t="str">
        <f aca="false">IF(C297=0, "Homme", "Femme")</f>
        <v>Homme</v>
      </c>
      <c r="E297" s="7" t="n">
        <f aca="false">RANDBETWEEN(1,3)</f>
        <v>1</v>
      </c>
      <c r="F297" s="7" t="str">
        <f aca="false">IF(E297=1, "Favorable", IF(E297=2, "Défavorable", "Ne se prononce pas"))</f>
        <v>Favorable</v>
      </c>
    </row>
    <row r="298" customFormat="false" ht="15" hidden="false" customHeight="false" outlineLevel="0" collapsed="false">
      <c r="A298" s="7" t="n">
        <f aca="false">A297+1</f>
        <v>297</v>
      </c>
      <c r="B298" s="7" t="n">
        <f aca="false">RANDBETWEEN(30,50)</f>
        <v>40</v>
      </c>
      <c r="C298" s="7" t="n">
        <f aca="false">RANDBETWEEN(0,1)</f>
        <v>0</v>
      </c>
      <c r="D298" s="7" t="str">
        <f aca="false">IF(C298=0, "Homme", "Femme")</f>
        <v>Homme</v>
      </c>
      <c r="E298" s="7" t="n">
        <f aca="false">RANDBETWEEN(1,3)</f>
        <v>3</v>
      </c>
      <c r="F298" s="7" t="str">
        <f aca="false">IF(E298=1, "Favorable", IF(E298=2, "Défavorable", "Ne se prononce pas"))</f>
        <v>Ne se prononce pas</v>
      </c>
    </row>
    <row r="299" customFormat="false" ht="15" hidden="false" customHeight="false" outlineLevel="0" collapsed="false">
      <c r="A299" s="7" t="n">
        <f aca="false">A298+1</f>
        <v>298</v>
      </c>
      <c r="B299" s="7" t="n">
        <f aca="false">RANDBETWEEN(30,50)</f>
        <v>38</v>
      </c>
      <c r="C299" s="7" t="n">
        <f aca="false">RANDBETWEEN(0,1)</f>
        <v>0</v>
      </c>
      <c r="D299" s="7" t="str">
        <f aca="false">IF(C299=0, "Homme", "Femme")</f>
        <v>Homme</v>
      </c>
      <c r="E299" s="7" t="n">
        <f aca="false">RANDBETWEEN(1,3)</f>
        <v>2</v>
      </c>
      <c r="F299" s="7" t="str">
        <f aca="false">IF(E299=1, "Favorable", IF(E299=2, "Défavorable", "Ne se prononce pas"))</f>
        <v>Défavorable</v>
      </c>
    </row>
    <row r="300" customFormat="false" ht="15" hidden="false" customHeight="false" outlineLevel="0" collapsed="false">
      <c r="A300" s="7" t="n">
        <f aca="false">A299+1</f>
        <v>299</v>
      </c>
      <c r="B300" s="7" t="n">
        <f aca="false">RANDBETWEEN(30,50)</f>
        <v>38</v>
      </c>
      <c r="C300" s="7" t="n">
        <f aca="false">RANDBETWEEN(0,1)</f>
        <v>0</v>
      </c>
      <c r="D300" s="7" t="str">
        <f aca="false">IF(C300=0, "Homme", "Femme")</f>
        <v>Homme</v>
      </c>
      <c r="E300" s="7" t="n">
        <f aca="false">RANDBETWEEN(1,3)</f>
        <v>2</v>
      </c>
      <c r="F300" s="7" t="str">
        <f aca="false">IF(E300=1, "Favorable", IF(E300=2, "Défavorable", "Ne se prononce pas"))</f>
        <v>Défavorable</v>
      </c>
    </row>
    <row r="301" customFormat="false" ht="15" hidden="false" customHeight="false" outlineLevel="0" collapsed="false">
      <c r="A301" s="7" t="n">
        <f aca="false">A300+1</f>
        <v>300</v>
      </c>
      <c r="B301" s="7" t="n">
        <f aca="false">RANDBETWEEN(30,50)</f>
        <v>31</v>
      </c>
      <c r="C301" s="7" t="n">
        <f aca="false">RANDBETWEEN(0,1)</f>
        <v>1</v>
      </c>
      <c r="D301" s="7" t="str">
        <f aca="false">IF(C301=0, "Homme", "Femme")</f>
        <v>Femme</v>
      </c>
      <c r="E301" s="7" t="n">
        <f aca="false">RANDBETWEEN(1,3)</f>
        <v>3</v>
      </c>
      <c r="F301" s="7" t="str">
        <f aca="false">IF(E301=1, "Favorable", IF(E301=2, "Défavorable", "Ne se prononce pas"))</f>
        <v>Ne se prononce pas</v>
      </c>
    </row>
    <row r="302" customFormat="false" ht="15" hidden="false" customHeight="false" outlineLevel="0" collapsed="false">
      <c r="A302" s="7" t="n">
        <f aca="false">A301+1</f>
        <v>301</v>
      </c>
      <c r="B302" s="7" t="n">
        <f aca="false">RANDBETWEEN(30,50)</f>
        <v>40</v>
      </c>
      <c r="C302" s="7" t="n">
        <f aca="false">RANDBETWEEN(0,1)</f>
        <v>1</v>
      </c>
      <c r="D302" s="7" t="str">
        <f aca="false">IF(C302=0, "Homme", "Femme")</f>
        <v>Femme</v>
      </c>
      <c r="E302" s="7" t="n">
        <f aca="false">RANDBETWEEN(1,3)</f>
        <v>2</v>
      </c>
      <c r="F302" s="7" t="str">
        <f aca="false">IF(E302=1, "Favorable", IF(E302=2, "Défavorable", "Ne se prononce pas"))</f>
        <v>Défavorable</v>
      </c>
    </row>
    <row r="303" customFormat="false" ht="15" hidden="false" customHeight="false" outlineLevel="0" collapsed="false">
      <c r="A303" s="7" t="n">
        <f aca="false">A302+1</f>
        <v>302</v>
      </c>
      <c r="B303" s="7" t="n">
        <f aca="false">RANDBETWEEN(30,50)</f>
        <v>47</v>
      </c>
      <c r="C303" s="7" t="n">
        <f aca="false">RANDBETWEEN(0,1)</f>
        <v>1</v>
      </c>
      <c r="D303" s="7" t="str">
        <f aca="false">IF(C303=0, "Homme", "Femme")</f>
        <v>Femme</v>
      </c>
      <c r="E303" s="7" t="n">
        <f aca="false">RANDBETWEEN(1,3)</f>
        <v>2</v>
      </c>
      <c r="F303" s="7" t="str">
        <f aca="false">IF(E303=1, "Favorable", IF(E303=2, "Défavorable", "Ne se prononce pas"))</f>
        <v>Défavorable</v>
      </c>
    </row>
    <row r="304" customFormat="false" ht="15" hidden="false" customHeight="false" outlineLevel="0" collapsed="false">
      <c r="A304" s="7" t="n">
        <f aca="false">A303+1</f>
        <v>303</v>
      </c>
      <c r="B304" s="7" t="n">
        <f aca="false">RANDBETWEEN(30,50)</f>
        <v>36</v>
      </c>
      <c r="C304" s="7" t="n">
        <f aca="false">RANDBETWEEN(0,1)</f>
        <v>0</v>
      </c>
      <c r="D304" s="7" t="str">
        <f aca="false">IF(C304=0, "Homme", "Femme")</f>
        <v>Homme</v>
      </c>
      <c r="E304" s="7" t="n">
        <f aca="false">RANDBETWEEN(1,3)</f>
        <v>3</v>
      </c>
      <c r="F304" s="7" t="str">
        <f aca="false">IF(E304=1, "Favorable", IF(E304=2, "Défavorable", "Ne se prononce pas"))</f>
        <v>Ne se prononce pas</v>
      </c>
    </row>
    <row r="305" customFormat="false" ht="15" hidden="false" customHeight="false" outlineLevel="0" collapsed="false">
      <c r="A305" s="7" t="n">
        <f aca="false">A304+1</f>
        <v>304</v>
      </c>
      <c r="B305" s="7" t="n">
        <f aca="false">RANDBETWEEN(30,50)</f>
        <v>41</v>
      </c>
      <c r="C305" s="7" t="n">
        <f aca="false">RANDBETWEEN(0,1)</f>
        <v>0</v>
      </c>
      <c r="D305" s="7" t="str">
        <f aca="false">IF(C305=0, "Homme", "Femme")</f>
        <v>Homme</v>
      </c>
      <c r="E305" s="7" t="n">
        <f aca="false">RANDBETWEEN(1,3)</f>
        <v>2</v>
      </c>
      <c r="F305" s="7" t="str">
        <f aca="false">IF(E305=1, "Favorable", IF(E305=2, "Défavorable", "Ne se prononce pas"))</f>
        <v>Défavorable</v>
      </c>
    </row>
    <row r="306" customFormat="false" ht="15" hidden="false" customHeight="false" outlineLevel="0" collapsed="false">
      <c r="A306" s="7" t="n">
        <f aca="false">A305+1</f>
        <v>305</v>
      </c>
      <c r="B306" s="7" t="n">
        <f aca="false">RANDBETWEEN(30,50)</f>
        <v>31</v>
      </c>
      <c r="C306" s="7" t="n">
        <f aca="false">RANDBETWEEN(0,1)</f>
        <v>1</v>
      </c>
      <c r="D306" s="7" t="str">
        <f aca="false">IF(C306=0, "Homme", "Femme")</f>
        <v>Femme</v>
      </c>
      <c r="E306" s="7" t="n">
        <f aca="false">RANDBETWEEN(1,3)</f>
        <v>1</v>
      </c>
      <c r="F306" s="7" t="str">
        <f aca="false">IF(E306=1, "Favorable", IF(E306=2, "Défavorable", "Ne se prononce pas"))</f>
        <v>Favorable</v>
      </c>
    </row>
    <row r="307" customFormat="false" ht="15" hidden="false" customHeight="false" outlineLevel="0" collapsed="false">
      <c r="A307" s="7" t="n">
        <f aca="false">A306+1</f>
        <v>306</v>
      </c>
      <c r="B307" s="7" t="n">
        <f aca="false">RANDBETWEEN(30,50)</f>
        <v>35</v>
      </c>
      <c r="C307" s="7" t="n">
        <f aca="false">RANDBETWEEN(0,1)</f>
        <v>0</v>
      </c>
      <c r="D307" s="7" t="str">
        <f aca="false">IF(C307=0, "Homme", "Femme")</f>
        <v>Homme</v>
      </c>
      <c r="E307" s="7" t="n">
        <f aca="false">RANDBETWEEN(1,3)</f>
        <v>3</v>
      </c>
      <c r="F307" s="7" t="str">
        <f aca="false">IF(E307=1, "Favorable", IF(E307=2, "Défavorable", "Ne se prononce pas"))</f>
        <v>Ne se prononce pas</v>
      </c>
    </row>
    <row r="308" customFormat="false" ht="15" hidden="false" customHeight="false" outlineLevel="0" collapsed="false">
      <c r="A308" s="7" t="n">
        <f aca="false">A307+1</f>
        <v>307</v>
      </c>
      <c r="B308" s="7" t="n">
        <f aca="false">RANDBETWEEN(30,50)</f>
        <v>41</v>
      </c>
      <c r="C308" s="7" t="n">
        <f aca="false">RANDBETWEEN(0,1)</f>
        <v>1</v>
      </c>
      <c r="D308" s="7" t="str">
        <f aca="false">IF(C308=0, "Homme", "Femme")</f>
        <v>Femme</v>
      </c>
      <c r="E308" s="7" t="n">
        <f aca="false">RANDBETWEEN(1,3)</f>
        <v>1</v>
      </c>
      <c r="F308" s="7" t="str">
        <f aca="false">IF(E308=1, "Favorable", IF(E308=2, "Défavorable", "Ne se prononce pas"))</f>
        <v>Favorable</v>
      </c>
    </row>
    <row r="309" customFormat="false" ht="15" hidden="false" customHeight="false" outlineLevel="0" collapsed="false">
      <c r="A309" s="7" t="n">
        <f aca="false">A308+1</f>
        <v>308</v>
      </c>
      <c r="B309" s="7" t="n">
        <f aca="false">RANDBETWEEN(30,50)</f>
        <v>50</v>
      </c>
      <c r="C309" s="7" t="n">
        <f aca="false">RANDBETWEEN(0,1)</f>
        <v>0</v>
      </c>
      <c r="D309" s="7" t="str">
        <f aca="false">IF(C309=0, "Homme", "Femme")</f>
        <v>Homme</v>
      </c>
      <c r="E309" s="7" t="n">
        <f aca="false">RANDBETWEEN(1,3)</f>
        <v>2</v>
      </c>
      <c r="F309" s="7" t="str">
        <f aca="false">IF(E309=1, "Favorable", IF(E309=2, "Défavorable", "Ne se prononce pas"))</f>
        <v>Défavorable</v>
      </c>
    </row>
    <row r="310" customFormat="false" ht="15" hidden="false" customHeight="false" outlineLevel="0" collapsed="false">
      <c r="A310" s="7" t="n">
        <f aca="false">A309+1</f>
        <v>309</v>
      </c>
      <c r="B310" s="7" t="n">
        <f aca="false">RANDBETWEEN(30,50)</f>
        <v>48</v>
      </c>
      <c r="C310" s="7" t="n">
        <f aca="false">RANDBETWEEN(0,1)</f>
        <v>1</v>
      </c>
      <c r="D310" s="7" t="str">
        <f aca="false">IF(C310=0, "Homme", "Femme")</f>
        <v>Femme</v>
      </c>
      <c r="E310" s="7" t="n">
        <f aca="false">RANDBETWEEN(1,3)</f>
        <v>1</v>
      </c>
      <c r="F310" s="7" t="str">
        <f aca="false">IF(E310=1, "Favorable", IF(E310=2, "Défavorable", "Ne se prononce pas"))</f>
        <v>Favorable</v>
      </c>
    </row>
    <row r="311" customFormat="false" ht="15" hidden="false" customHeight="false" outlineLevel="0" collapsed="false">
      <c r="A311" s="7" t="n">
        <f aca="false">A310+1</f>
        <v>310</v>
      </c>
      <c r="B311" s="7" t="n">
        <f aca="false">RANDBETWEEN(30,50)</f>
        <v>45</v>
      </c>
      <c r="C311" s="7" t="n">
        <f aca="false">RANDBETWEEN(0,1)</f>
        <v>0</v>
      </c>
      <c r="D311" s="7" t="str">
        <f aca="false">IF(C311=0, "Homme", "Femme")</f>
        <v>Homme</v>
      </c>
      <c r="E311" s="7" t="n">
        <f aca="false">RANDBETWEEN(1,3)</f>
        <v>3</v>
      </c>
      <c r="F311" s="7" t="str">
        <f aca="false">IF(E311=1, "Favorable", IF(E311=2, "Défavorable", "Ne se prononce pas"))</f>
        <v>Ne se prononce pas</v>
      </c>
    </row>
    <row r="312" customFormat="false" ht="15" hidden="false" customHeight="false" outlineLevel="0" collapsed="false">
      <c r="A312" s="7" t="n">
        <f aca="false">A311+1</f>
        <v>311</v>
      </c>
      <c r="B312" s="7" t="n">
        <f aca="false">RANDBETWEEN(30,50)</f>
        <v>37</v>
      </c>
      <c r="C312" s="7" t="n">
        <f aca="false">RANDBETWEEN(0,1)</f>
        <v>0</v>
      </c>
      <c r="D312" s="7" t="str">
        <f aca="false">IF(C312=0, "Homme", "Femme")</f>
        <v>Homme</v>
      </c>
      <c r="E312" s="7" t="n">
        <f aca="false">RANDBETWEEN(1,3)</f>
        <v>2</v>
      </c>
      <c r="F312" s="7" t="str">
        <f aca="false">IF(E312=1, "Favorable", IF(E312=2, "Défavorable", "Ne se prononce pas"))</f>
        <v>Défavorable</v>
      </c>
    </row>
    <row r="313" customFormat="false" ht="15" hidden="false" customHeight="false" outlineLevel="0" collapsed="false">
      <c r="A313" s="7" t="n">
        <f aca="false">A312+1</f>
        <v>312</v>
      </c>
      <c r="B313" s="7" t="n">
        <f aca="false">RANDBETWEEN(30,50)</f>
        <v>47</v>
      </c>
      <c r="C313" s="7" t="n">
        <f aca="false">RANDBETWEEN(0,1)</f>
        <v>0</v>
      </c>
      <c r="D313" s="7" t="str">
        <f aca="false">IF(C313=0, "Homme", "Femme")</f>
        <v>Homme</v>
      </c>
      <c r="E313" s="7" t="n">
        <f aca="false">RANDBETWEEN(1,3)</f>
        <v>1</v>
      </c>
      <c r="F313" s="7" t="str">
        <f aca="false">IF(E313=1, "Favorable", IF(E313=2, "Défavorable", "Ne se prononce pas"))</f>
        <v>Favorable</v>
      </c>
    </row>
    <row r="314" customFormat="false" ht="15" hidden="false" customHeight="false" outlineLevel="0" collapsed="false">
      <c r="A314" s="7" t="n">
        <f aca="false">A313+1</f>
        <v>313</v>
      </c>
      <c r="B314" s="7" t="n">
        <f aca="false">RANDBETWEEN(30,50)</f>
        <v>48</v>
      </c>
      <c r="C314" s="7" t="n">
        <f aca="false">RANDBETWEEN(0,1)</f>
        <v>0</v>
      </c>
      <c r="D314" s="7" t="str">
        <f aca="false">IF(C314=0, "Homme", "Femme")</f>
        <v>Homme</v>
      </c>
      <c r="E314" s="7" t="n">
        <f aca="false">RANDBETWEEN(1,3)</f>
        <v>2</v>
      </c>
      <c r="F314" s="7" t="str">
        <f aca="false">IF(E314=1, "Favorable", IF(E314=2, "Défavorable", "Ne se prononce pas"))</f>
        <v>Défavorable</v>
      </c>
    </row>
    <row r="315" customFormat="false" ht="15" hidden="false" customHeight="false" outlineLevel="0" collapsed="false">
      <c r="A315" s="7" t="n">
        <f aca="false">A314+1</f>
        <v>314</v>
      </c>
      <c r="B315" s="7" t="n">
        <f aca="false">RANDBETWEEN(30,50)</f>
        <v>45</v>
      </c>
      <c r="C315" s="7" t="n">
        <f aca="false">RANDBETWEEN(0,1)</f>
        <v>0</v>
      </c>
      <c r="D315" s="7" t="str">
        <f aca="false">IF(C315=0, "Homme", "Femme")</f>
        <v>Homme</v>
      </c>
      <c r="E315" s="7" t="n">
        <f aca="false">RANDBETWEEN(1,3)</f>
        <v>1</v>
      </c>
      <c r="F315" s="7" t="str">
        <f aca="false">IF(E315=1, "Favorable", IF(E315=2, "Défavorable", "Ne se prononce pas"))</f>
        <v>Favorable</v>
      </c>
    </row>
    <row r="316" customFormat="false" ht="15" hidden="false" customHeight="false" outlineLevel="0" collapsed="false">
      <c r="A316" s="7" t="n">
        <f aca="false">A315+1</f>
        <v>315</v>
      </c>
      <c r="B316" s="7" t="n">
        <f aca="false">RANDBETWEEN(30,50)</f>
        <v>34</v>
      </c>
      <c r="C316" s="7" t="n">
        <f aca="false">RANDBETWEEN(0,1)</f>
        <v>1</v>
      </c>
      <c r="D316" s="7" t="str">
        <f aca="false">IF(C316=0, "Homme", "Femme")</f>
        <v>Femme</v>
      </c>
      <c r="E316" s="7" t="n">
        <f aca="false">RANDBETWEEN(1,3)</f>
        <v>2</v>
      </c>
      <c r="F316" s="7" t="str">
        <f aca="false">IF(E316=1, "Favorable", IF(E316=2, "Défavorable", "Ne se prononce pas"))</f>
        <v>Défavorable</v>
      </c>
    </row>
    <row r="317" customFormat="false" ht="15" hidden="false" customHeight="false" outlineLevel="0" collapsed="false">
      <c r="A317" s="7" t="n">
        <f aca="false">A316+1</f>
        <v>316</v>
      </c>
      <c r="B317" s="7" t="n">
        <f aca="false">RANDBETWEEN(30,50)</f>
        <v>47</v>
      </c>
      <c r="C317" s="7" t="n">
        <f aca="false">RANDBETWEEN(0,1)</f>
        <v>1</v>
      </c>
      <c r="D317" s="7" t="str">
        <f aca="false">IF(C317=0, "Homme", "Femme")</f>
        <v>Femme</v>
      </c>
      <c r="E317" s="7" t="n">
        <f aca="false">RANDBETWEEN(1,3)</f>
        <v>2</v>
      </c>
      <c r="F317" s="7" t="str">
        <f aca="false">IF(E317=1, "Favorable", IF(E317=2, "Défavorable", "Ne se prononce pas"))</f>
        <v>Défavorable</v>
      </c>
    </row>
    <row r="318" customFormat="false" ht="15" hidden="false" customHeight="false" outlineLevel="0" collapsed="false">
      <c r="A318" s="7" t="n">
        <f aca="false">A317+1</f>
        <v>317</v>
      </c>
      <c r="B318" s="7" t="n">
        <f aca="false">RANDBETWEEN(30,50)</f>
        <v>33</v>
      </c>
      <c r="C318" s="7" t="n">
        <f aca="false">RANDBETWEEN(0,1)</f>
        <v>0</v>
      </c>
      <c r="D318" s="7" t="str">
        <f aca="false">IF(C318=0, "Homme", "Femme")</f>
        <v>Homme</v>
      </c>
      <c r="E318" s="7" t="n">
        <f aca="false">RANDBETWEEN(1,3)</f>
        <v>2</v>
      </c>
      <c r="F318" s="7" t="str">
        <f aca="false">IF(E318=1, "Favorable", IF(E318=2, "Défavorable", "Ne se prononce pas"))</f>
        <v>Défavorable</v>
      </c>
    </row>
    <row r="319" customFormat="false" ht="15" hidden="false" customHeight="false" outlineLevel="0" collapsed="false">
      <c r="A319" s="7" t="n">
        <f aca="false">A318+1</f>
        <v>318</v>
      </c>
      <c r="B319" s="7" t="n">
        <f aca="false">RANDBETWEEN(30,50)</f>
        <v>44</v>
      </c>
      <c r="C319" s="7" t="n">
        <f aca="false">RANDBETWEEN(0,1)</f>
        <v>0</v>
      </c>
      <c r="D319" s="7" t="str">
        <f aca="false">IF(C319=0, "Homme", "Femme")</f>
        <v>Homme</v>
      </c>
      <c r="E319" s="7" t="n">
        <f aca="false">RANDBETWEEN(1,3)</f>
        <v>3</v>
      </c>
      <c r="F319" s="7" t="str">
        <f aca="false">IF(E319=1, "Favorable", IF(E319=2, "Défavorable", "Ne se prononce pas"))</f>
        <v>Ne se prononce pas</v>
      </c>
    </row>
    <row r="320" customFormat="false" ht="15" hidden="false" customHeight="false" outlineLevel="0" collapsed="false">
      <c r="A320" s="7" t="n">
        <f aca="false">A319+1</f>
        <v>319</v>
      </c>
      <c r="B320" s="7" t="n">
        <f aca="false">RANDBETWEEN(30,50)</f>
        <v>36</v>
      </c>
      <c r="C320" s="7" t="n">
        <f aca="false">RANDBETWEEN(0,1)</f>
        <v>1</v>
      </c>
      <c r="D320" s="7" t="str">
        <f aca="false">IF(C320=0, "Homme", "Femme")</f>
        <v>Femme</v>
      </c>
      <c r="E320" s="7" t="n">
        <f aca="false">RANDBETWEEN(1,3)</f>
        <v>1</v>
      </c>
      <c r="F320" s="7" t="str">
        <f aca="false">IF(E320=1, "Favorable", IF(E320=2, "Défavorable", "Ne se prononce pas"))</f>
        <v>Favorable</v>
      </c>
    </row>
    <row r="321" customFormat="false" ht="15" hidden="false" customHeight="false" outlineLevel="0" collapsed="false">
      <c r="A321" s="7" t="n">
        <f aca="false">A320+1</f>
        <v>320</v>
      </c>
      <c r="B321" s="7" t="n">
        <f aca="false">RANDBETWEEN(30,50)</f>
        <v>48</v>
      </c>
      <c r="C321" s="7" t="n">
        <f aca="false">RANDBETWEEN(0,1)</f>
        <v>0</v>
      </c>
      <c r="D321" s="7" t="str">
        <f aca="false">IF(C321=0, "Homme", "Femme")</f>
        <v>Homme</v>
      </c>
      <c r="E321" s="7" t="n">
        <f aca="false">RANDBETWEEN(1,3)</f>
        <v>2</v>
      </c>
      <c r="F321" s="7" t="str">
        <f aca="false">IF(E321=1, "Favorable", IF(E321=2, "Défavorable", "Ne se prononce pas"))</f>
        <v>Défavorable</v>
      </c>
    </row>
    <row r="322" customFormat="false" ht="15" hidden="false" customHeight="false" outlineLevel="0" collapsed="false">
      <c r="A322" s="7" t="n">
        <f aca="false">A321+1</f>
        <v>321</v>
      </c>
      <c r="B322" s="7" t="n">
        <f aca="false">RANDBETWEEN(30,50)</f>
        <v>31</v>
      </c>
      <c r="C322" s="7" t="n">
        <f aca="false">RANDBETWEEN(0,1)</f>
        <v>1</v>
      </c>
      <c r="D322" s="7" t="str">
        <f aca="false">IF(C322=0, "Homme", "Femme")</f>
        <v>Femme</v>
      </c>
      <c r="E322" s="7" t="n">
        <f aca="false">RANDBETWEEN(1,3)</f>
        <v>2</v>
      </c>
      <c r="F322" s="7" t="str">
        <f aca="false">IF(E322=1, "Favorable", IF(E322=2, "Défavorable", "Ne se prononce pas"))</f>
        <v>Défavorable</v>
      </c>
    </row>
    <row r="323" customFormat="false" ht="15" hidden="false" customHeight="false" outlineLevel="0" collapsed="false">
      <c r="A323" s="7" t="n">
        <f aca="false">A322+1</f>
        <v>322</v>
      </c>
      <c r="B323" s="7" t="n">
        <f aca="false">RANDBETWEEN(30,50)</f>
        <v>42</v>
      </c>
      <c r="C323" s="7" t="n">
        <f aca="false">RANDBETWEEN(0,1)</f>
        <v>1</v>
      </c>
      <c r="D323" s="7" t="str">
        <f aca="false">IF(C323=0, "Homme", "Femme")</f>
        <v>Femme</v>
      </c>
      <c r="E323" s="7" t="n">
        <f aca="false">RANDBETWEEN(1,3)</f>
        <v>1</v>
      </c>
      <c r="F323" s="7" t="str">
        <f aca="false">IF(E323=1, "Favorable", IF(E323=2, "Défavorable", "Ne se prononce pas"))</f>
        <v>Favorable</v>
      </c>
    </row>
    <row r="324" customFormat="false" ht="15" hidden="false" customHeight="false" outlineLevel="0" collapsed="false">
      <c r="A324" s="7" t="n">
        <f aca="false">A323+1</f>
        <v>323</v>
      </c>
      <c r="B324" s="7" t="n">
        <f aca="false">RANDBETWEEN(30,50)</f>
        <v>49</v>
      </c>
      <c r="C324" s="7" t="n">
        <f aca="false">RANDBETWEEN(0,1)</f>
        <v>1</v>
      </c>
      <c r="D324" s="7" t="str">
        <f aca="false">IF(C324=0, "Homme", "Femme")</f>
        <v>Femme</v>
      </c>
      <c r="E324" s="7" t="n">
        <f aca="false">RANDBETWEEN(1,3)</f>
        <v>3</v>
      </c>
      <c r="F324" s="7" t="str">
        <f aca="false">IF(E324=1, "Favorable", IF(E324=2, "Défavorable", "Ne se prononce pas"))</f>
        <v>Ne se prononce pas</v>
      </c>
    </row>
    <row r="325" customFormat="false" ht="15" hidden="false" customHeight="false" outlineLevel="0" collapsed="false">
      <c r="A325" s="7" t="n">
        <f aca="false">A324+1</f>
        <v>324</v>
      </c>
      <c r="B325" s="7" t="n">
        <f aca="false">RANDBETWEEN(30,50)</f>
        <v>44</v>
      </c>
      <c r="C325" s="7" t="n">
        <f aca="false">RANDBETWEEN(0,1)</f>
        <v>0</v>
      </c>
      <c r="D325" s="7" t="str">
        <f aca="false">IF(C325=0, "Homme", "Femme")</f>
        <v>Homme</v>
      </c>
      <c r="E325" s="7" t="n">
        <f aca="false">RANDBETWEEN(1,3)</f>
        <v>1</v>
      </c>
      <c r="F325" s="7" t="str">
        <f aca="false">IF(E325=1, "Favorable", IF(E325=2, "Défavorable", "Ne se prononce pas"))</f>
        <v>Favorable</v>
      </c>
    </row>
    <row r="326" customFormat="false" ht="15" hidden="false" customHeight="false" outlineLevel="0" collapsed="false">
      <c r="A326" s="7" t="n">
        <f aca="false">A325+1</f>
        <v>325</v>
      </c>
      <c r="B326" s="7" t="n">
        <f aca="false">RANDBETWEEN(30,50)</f>
        <v>41</v>
      </c>
      <c r="C326" s="7" t="n">
        <f aca="false">RANDBETWEEN(0,1)</f>
        <v>0</v>
      </c>
      <c r="D326" s="7" t="str">
        <f aca="false">IF(C326=0, "Homme", "Femme")</f>
        <v>Homme</v>
      </c>
      <c r="E326" s="7" t="n">
        <f aca="false">RANDBETWEEN(1,3)</f>
        <v>1</v>
      </c>
      <c r="F326" s="7" t="str">
        <f aca="false">IF(E326=1, "Favorable", IF(E326=2, "Défavorable", "Ne se prononce pas"))</f>
        <v>Favorable</v>
      </c>
    </row>
    <row r="327" customFormat="false" ht="15" hidden="false" customHeight="false" outlineLevel="0" collapsed="false">
      <c r="A327" s="7" t="n">
        <f aca="false">A326+1</f>
        <v>326</v>
      </c>
      <c r="B327" s="7" t="n">
        <f aca="false">RANDBETWEEN(30,50)</f>
        <v>47</v>
      </c>
      <c r="C327" s="7" t="n">
        <f aca="false">RANDBETWEEN(0,1)</f>
        <v>0</v>
      </c>
      <c r="D327" s="7" t="str">
        <f aca="false">IF(C327=0, "Homme", "Femme")</f>
        <v>Homme</v>
      </c>
      <c r="E327" s="7" t="n">
        <f aca="false">RANDBETWEEN(1,3)</f>
        <v>1</v>
      </c>
      <c r="F327" s="7" t="str">
        <f aca="false">IF(E327=1, "Favorable", IF(E327=2, "Défavorable", "Ne se prononce pas"))</f>
        <v>Favorable</v>
      </c>
    </row>
    <row r="328" customFormat="false" ht="15" hidden="false" customHeight="false" outlineLevel="0" collapsed="false">
      <c r="A328" s="7" t="n">
        <f aca="false">A327+1</f>
        <v>327</v>
      </c>
      <c r="B328" s="7" t="n">
        <f aca="false">RANDBETWEEN(30,50)</f>
        <v>47</v>
      </c>
      <c r="C328" s="7" t="n">
        <f aca="false">RANDBETWEEN(0,1)</f>
        <v>1</v>
      </c>
      <c r="D328" s="7" t="str">
        <f aca="false">IF(C328=0, "Homme", "Femme")</f>
        <v>Femme</v>
      </c>
      <c r="E328" s="7" t="n">
        <f aca="false">RANDBETWEEN(1,3)</f>
        <v>3</v>
      </c>
      <c r="F328" s="7" t="str">
        <f aca="false">IF(E328=1, "Favorable", IF(E328=2, "Défavorable", "Ne se prononce pas"))</f>
        <v>Ne se prononce pas</v>
      </c>
    </row>
    <row r="329" customFormat="false" ht="15" hidden="false" customHeight="false" outlineLevel="0" collapsed="false">
      <c r="A329" s="7" t="n">
        <f aca="false">A328+1</f>
        <v>328</v>
      </c>
      <c r="B329" s="7" t="n">
        <f aca="false">RANDBETWEEN(30,50)</f>
        <v>36</v>
      </c>
      <c r="C329" s="7" t="n">
        <f aca="false">RANDBETWEEN(0,1)</f>
        <v>0</v>
      </c>
      <c r="D329" s="7" t="str">
        <f aca="false">IF(C329=0, "Homme", "Femme")</f>
        <v>Homme</v>
      </c>
      <c r="E329" s="7" t="n">
        <f aca="false">RANDBETWEEN(1,3)</f>
        <v>3</v>
      </c>
      <c r="F329" s="7" t="str">
        <f aca="false">IF(E329=1, "Favorable", IF(E329=2, "Défavorable", "Ne se prononce pas"))</f>
        <v>Ne se prononce pas</v>
      </c>
    </row>
    <row r="330" customFormat="false" ht="15" hidden="false" customHeight="false" outlineLevel="0" collapsed="false">
      <c r="A330" s="7" t="n">
        <f aca="false">A329+1</f>
        <v>329</v>
      </c>
      <c r="B330" s="7" t="n">
        <f aca="false">RANDBETWEEN(30,50)</f>
        <v>45</v>
      </c>
      <c r="C330" s="7" t="n">
        <f aca="false">RANDBETWEEN(0,1)</f>
        <v>1</v>
      </c>
      <c r="D330" s="7" t="str">
        <f aca="false">IF(C330=0, "Homme", "Femme")</f>
        <v>Femme</v>
      </c>
      <c r="E330" s="7" t="n">
        <f aca="false">RANDBETWEEN(1,3)</f>
        <v>3</v>
      </c>
      <c r="F330" s="7" t="str">
        <f aca="false">IF(E330=1, "Favorable", IF(E330=2, "Défavorable", "Ne se prononce pas"))</f>
        <v>Ne se prononce pas</v>
      </c>
    </row>
    <row r="331" customFormat="false" ht="15" hidden="false" customHeight="false" outlineLevel="0" collapsed="false">
      <c r="A331" s="7" t="n">
        <f aca="false">A330+1</f>
        <v>330</v>
      </c>
      <c r="B331" s="7" t="n">
        <f aca="false">RANDBETWEEN(30,50)</f>
        <v>31</v>
      </c>
      <c r="C331" s="7" t="n">
        <f aca="false">RANDBETWEEN(0,1)</f>
        <v>0</v>
      </c>
      <c r="D331" s="7" t="str">
        <f aca="false">IF(C331=0, "Homme", "Femme")</f>
        <v>Homme</v>
      </c>
      <c r="E331" s="7" t="n">
        <f aca="false">RANDBETWEEN(1,3)</f>
        <v>2</v>
      </c>
      <c r="F331" s="7" t="str">
        <f aca="false">IF(E331=1, "Favorable", IF(E331=2, "Défavorable", "Ne se prononce pas"))</f>
        <v>Défavorable</v>
      </c>
    </row>
    <row r="332" customFormat="false" ht="15" hidden="false" customHeight="false" outlineLevel="0" collapsed="false">
      <c r="A332" s="7" t="n">
        <f aca="false">A331+1</f>
        <v>331</v>
      </c>
      <c r="B332" s="7" t="n">
        <f aca="false">RANDBETWEEN(30,50)</f>
        <v>34</v>
      </c>
      <c r="C332" s="7" t="n">
        <f aca="false">RANDBETWEEN(0,1)</f>
        <v>0</v>
      </c>
      <c r="D332" s="7" t="str">
        <f aca="false">IF(C332=0, "Homme", "Femme")</f>
        <v>Homme</v>
      </c>
      <c r="E332" s="7" t="n">
        <f aca="false">RANDBETWEEN(1,3)</f>
        <v>2</v>
      </c>
      <c r="F332" s="7" t="str">
        <f aca="false">IF(E332=1, "Favorable", IF(E332=2, "Défavorable", "Ne se prononce pas"))</f>
        <v>Défavorable</v>
      </c>
    </row>
    <row r="333" customFormat="false" ht="15" hidden="false" customHeight="false" outlineLevel="0" collapsed="false">
      <c r="A333" s="7" t="n">
        <f aca="false">A332+1</f>
        <v>332</v>
      </c>
      <c r="B333" s="7" t="n">
        <f aca="false">RANDBETWEEN(30,50)</f>
        <v>31</v>
      </c>
      <c r="C333" s="7" t="n">
        <f aca="false">RANDBETWEEN(0,1)</f>
        <v>1</v>
      </c>
      <c r="D333" s="7" t="str">
        <f aca="false">IF(C333=0, "Homme", "Femme")</f>
        <v>Femme</v>
      </c>
      <c r="E333" s="7" t="n">
        <f aca="false">RANDBETWEEN(1,3)</f>
        <v>2</v>
      </c>
      <c r="F333" s="7" t="str">
        <f aca="false">IF(E333=1, "Favorable", IF(E333=2, "Défavorable", "Ne se prononce pas"))</f>
        <v>Défavorable</v>
      </c>
    </row>
    <row r="334" customFormat="false" ht="15" hidden="false" customHeight="false" outlineLevel="0" collapsed="false">
      <c r="A334" s="7" t="n">
        <f aca="false">A333+1</f>
        <v>333</v>
      </c>
      <c r="B334" s="7" t="n">
        <f aca="false">RANDBETWEEN(30,50)</f>
        <v>30</v>
      </c>
      <c r="C334" s="7" t="n">
        <f aca="false">RANDBETWEEN(0,1)</f>
        <v>1</v>
      </c>
      <c r="D334" s="7" t="str">
        <f aca="false">IF(C334=0, "Homme", "Femme")</f>
        <v>Femme</v>
      </c>
      <c r="E334" s="7" t="n">
        <f aca="false">RANDBETWEEN(1,3)</f>
        <v>2</v>
      </c>
      <c r="F334" s="7" t="str">
        <f aca="false">IF(E334=1, "Favorable", IF(E334=2, "Défavorable", "Ne se prononce pas"))</f>
        <v>Défavorable</v>
      </c>
    </row>
    <row r="335" customFormat="false" ht="15" hidden="false" customHeight="false" outlineLevel="0" collapsed="false">
      <c r="A335" s="7" t="n">
        <f aca="false">A334+1</f>
        <v>334</v>
      </c>
      <c r="B335" s="7" t="n">
        <f aca="false">RANDBETWEEN(30,50)</f>
        <v>45</v>
      </c>
      <c r="C335" s="7" t="n">
        <f aca="false">RANDBETWEEN(0,1)</f>
        <v>1</v>
      </c>
      <c r="D335" s="7" t="str">
        <f aca="false">IF(C335=0, "Homme", "Femme")</f>
        <v>Femme</v>
      </c>
      <c r="E335" s="7" t="n">
        <f aca="false">RANDBETWEEN(1,3)</f>
        <v>3</v>
      </c>
      <c r="F335" s="7" t="str">
        <f aca="false">IF(E335=1, "Favorable", IF(E335=2, "Défavorable", "Ne se prononce pas"))</f>
        <v>Ne se prononce pas</v>
      </c>
    </row>
    <row r="336" customFormat="false" ht="15" hidden="false" customHeight="false" outlineLevel="0" collapsed="false">
      <c r="A336" s="7" t="n">
        <f aca="false">A335+1</f>
        <v>335</v>
      </c>
      <c r="B336" s="7" t="n">
        <f aca="false">RANDBETWEEN(30,50)</f>
        <v>49</v>
      </c>
      <c r="C336" s="7" t="n">
        <f aca="false">RANDBETWEEN(0,1)</f>
        <v>1</v>
      </c>
      <c r="D336" s="7" t="str">
        <f aca="false">IF(C336=0, "Homme", "Femme")</f>
        <v>Femme</v>
      </c>
      <c r="E336" s="7" t="n">
        <f aca="false">RANDBETWEEN(1,3)</f>
        <v>1</v>
      </c>
      <c r="F336" s="7" t="str">
        <f aca="false">IF(E336=1, "Favorable", IF(E336=2, "Défavorable", "Ne se prononce pas"))</f>
        <v>Favorable</v>
      </c>
    </row>
    <row r="337" customFormat="false" ht="15" hidden="false" customHeight="false" outlineLevel="0" collapsed="false">
      <c r="A337" s="7" t="n">
        <f aca="false">A336+1</f>
        <v>336</v>
      </c>
      <c r="B337" s="7" t="n">
        <f aca="false">RANDBETWEEN(30,50)</f>
        <v>49</v>
      </c>
      <c r="C337" s="7" t="n">
        <f aca="false">RANDBETWEEN(0,1)</f>
        <v>0</v>
      </c>
      <c r="D337" s="7" t="str">
        <f aca="false">IF(C337=0, "Homme", "Femme")</f>
        <v>Homme</v>
      </c>
      <c r="E337" s="7" t="n">
        <f aca="false">RANDBETWEEN(1,3)</f>
        <v>1</v>
      </c>
      <c r="F337" s="7" t="str">
        <f aca="false">IF(E337=1, "Favorable", IF(E337=2, "Défavorable", "Ne se prononce pas"))</f>
        <v>Favorable</v>
      </c>
    </row>
    <row r="338" customFormat="false" ht="15" hidden="false" customHeight="false" outlineLevel="0" collapsed="false">
      <c r="A338" s="7" t="n">
        <f aca="false">A337+1</f>
        <v>337</v>
      </c>
      <c r="B338" s="7" t="n">
        <f aca="false">RANDBETWEEN(30,50)</f>
        <v>43</v>
      </c>
      <c r="C338" s="7" t="n">
        <f aca="false">RANDBETWEEN(0,1)</f>
        <v>1</v>
      </c>
      <c r="D338" s="7" t="str">
        <f aca="false">IF(C338=0, "Homme", "Femme")</f>
        <v>Femme</v>
      </c>
      <c r="E338" s="7" t="n">
        <f aca="false">RANDBETWEEN(1,3)</f>
        <v>3</v>
      </c>
      <c r="F338" s="7" t="str">
        <f aca="false">IF(E338=1, "Favorable", IF(E338=2, "Défavorable", "Ne se prononce pas"))</f>
        <v>Ne se prononce pas</v>
      </c>
    </row>
    <row r="339" customFormat="false" ht="15" hidden="false" customHeight="false" outlineLevel="0" collapsed="false">
      <c r="A339" s="7" t="n">
        <f aca="false">A338+1</f>
        <v>338</v>
      </c>
      <c r="B339" s="7" t="n">
        <f aca="false">RANDBETWEEN(30,50)</f>
        <v>49</v>
      </c>
      <c r="C339" s="7" t="n">
        <f aca="false">RANDBETWEEN(0,1)</f>
        <v>0</v>
      </c>
      <c r="D339" s="7" t="str">
        <f aca="false">IF(C339=0, "Homme", "Femme")</f>
        <v>Homme</v>
      </c>
      <c r="E339" s="7" t="n">
        <f aca="false">RANDBETWEEN(1,3)</f>
        <v>1</v>
      </c>
      <c r="F339" s="7" t="str">
        <f aca="false">IF(E339=1, "Favorable", IF(E339=2, "Défavorable", "Ne se prononce pas"))</f>
        <v>Favorable</v>
      </c>
    </row>
    <row r="340" customFormat="false" ht="15" hidden="false" customHeight="false" outlineLevel="0" collapsed="false">
      <c r="A340" s="7" t="n">
        <f aca="false">A339+1</f>
        <v>339</v>
      </c>
      <c r="B340" s="7" t="n">
        <f aca="false">RANDBETWEEN(30,50)</f>
        <v>47</v>
      </c>
      <c r="C340" s="7" t="n">
        <f aca="false">RANDBETWEEN(0,1)</f>
        <v>0</v>
      </c>
      <c r="D340" s="7" t="str">
        <f aca="false">IF(C340=0, "Homme", "Femme")</f>
        <v>Homme</v>
      </c>
      <c r="E340" s="7" t="n">
        <f aca="false">RANDBETWEEN(1,3)</f>
        <v>2</v>
      </c>
      <c r="F340" s="7" t="str">
        <f aca="false">IF(E340=1, "Favorable", IF(E340=2, "Défavorable", "Ne se prononce pas"))</f>
        <v>Défavorable</v>
      </c>
    </row>
    <row r="341" customFormat="false" ht="15" hidden="false" customHeight="false" outlineLevel="0" collapsed="false">
      <c r="A341" s="7" t="n">
        <f aca="false">A340+1</f>
        <v>340</v>
      </c>
      <c r="B341" s="7" t="n">
        <f aca="false">RANDBETWEEN(30,50)</f>
        <v>42</v>
      </c>
      <c r="C341" s="7" t="n">
        <f aca="false">RANDBETWEEN(0,1)</f>
        <v>0</v>
      </c>
      <c r="D341" s="7" t="str">
        <f aca="false">IF(C341=0, "Homme", "Femme")</f>
        <v>Homme</v>
      </c>
      <c r="E341" s="7" t="n">
        <f aca="false">RANDBETWEEN(1,3)</f>
        <v>2</v>
      </c>
      <c r="F341" s="7" t="str">
        <f aca="false">IF(E341=1, "Favorable", IF(E341=2, "Défavorable", "Ne se prononce pas"))</f>
        <v>Défavorable</v>
      </c>
    </row>
    <row r="342" customFormat="false" ht="15" hidden="false" customHeight="false" outlineLevel="0" collapsed="false">
      <c r="A342" s="7" t="n">
        <f aca="false">A341+1</f>
        <v>341</v>
      </c>
      <c r="B342" s="7" t="n">
        <f aca="false">RANDBETWEEN(30,50)</f>
        <v>49</v>
      </c>
      <c r="C342" s="7" t="n">
        <f aca="false">RANDBETWEEN(0,1)</f>
        <v>1</v>
      </c>
      <c r="D342" s="7" t="str">
        <f aca="false">IF(C342=0, "Homme", "Femme")</f>
        <v>Femme</v>
      </c>
      <c r="E342" s="7" t="n">
        <f aca="false">RANDBETWEEN(1,3)</f>
        <v>1</v>
      </c>
      <c r="F342" s="7" t="str">
        <f aca="false">IF(E342=1, "Favorable", IF(E342=2, "Défavorable", "Ne se prononce pas"))</f>
        <v>Favorable</v>
      </c>
    </row>
    <row r="343" customFormat="false" ht="15" hidden="false" customHeight="false" outlineLevel="0" collapsed="false">
      <c r="A343" s="7" t="n">
        <f aca="false">A342+1</f>
        <v>342</v>
      </c>
      <c r="B343" s="7" t="n">
        <f aca="false">RANDBETWEEN(30,50)</f>
        <v>31</v>
      </c>
      <c r="C343" s="7" t="n">
        <f aca="false">RANDBETWEEN(0,1)</f>
        <v>0</v>
      </c>
      <c r="D343" s="7" t="str">
        <f aca="false">IF(C343=0, "Homme", "Femme")</f>
        <v>Homme</v>
      </c>
      <c r="E343" s="7" t="n">
        <f aca="false">RANDBETWEEN(1,3)</f>
        <v>1</v>
      </c>
      <c r="F343" s="7" t="str">
        <f aca="false">IF(E343=1, "Favorable", IF(E343=2, "Défavorable", "Ne se prononce pas"))</f>
        <v>Favorable</v>
      </c>
    </row>
    <row r="344" customFormat="false" ht="15" hidden="false" customHeight="false" outlineLevel="0" collapsed="false">
      <c r="A344" s="7" t="n">
        <f aca="false">A343+1</f>
        <v>343</v>
      </c>
      <c r="B344" s="7" t="n">
        <f aca="false">RANDBETWEEN(30,50)</f>
        <v>30</v>
      </c>
      <c r="C344" s="7" t="n">
        <f aca="false">RANDBETWEEN(0,1)</f>
        <v>0</v>
      </c>
      <c r="D344" s="7" t="str">
        <f aca="false">IF(C344=0, "Homme", "Femme")</f>
        <v>Homme</v>
      </c>
      <c r="E344" s="7" t="n">
        <f aca="false">RANDBETWEEN(1,3)</f>
        <v>2</v>
      </c>
      <c r="F344" s="7" t="str">
        <f aca="false">IF(E344=1, "Favorable", IF(E344=2, "Défavorable", "Ne se prononce pas"))</f>
        <v>Défavorable</v>
      </c>
    </row>
    <row r="345" customFormat="false" ht="15" hidden="false" customHeight="false" outlineLevel="0" collapsed="false">
      <c r="A345" s="7" t="n">
        <f aca="false">A344+1</f>
        <v>344</v>
      </c>
      <c r="B345" s="7" t="n">
        <f aca="false">RANDBETWEEN(30,50)</f>
        <v>43</v>
      </c>
      <c r="C345" s="7" t="n">
        <f aca="false">RANDBETWEEN(0,1)</f>
        <v>1</v>
      </c>
      <c r="D345" s="7" t="str">
        <f aca="false">IF(C345=0, "Homme", "Femme")</f>
        <v>Femme</v>
      </c>
      <c r="E345" s="7" t="n">
        <f aca="false">RANDBETWEEN(1,3)</f>
        <v>3</v>
      </c>
      <c r="F345" s="7" t="str">
        <f aca="false">IF(E345=1, "Favorable", IF(E345=2, "Défavorable", "Ne se prononce pas"))</f>
        <v>Ne se prononce pas</v>
      </c>
    </row>
    <row r="346" customFormat="false" ht="15" hidden="false" customHeight="false" outlineLevel="0" collapsed="false">
      <c r="A346" s="7" t="n">
        <f aca="false">A345+1</f>
        <v>345</v>
      </c>
      <c r="B346" s="7" t="n">
        <f aca="false">RANDBETWEEN(30,50)</f>
        <v>46</v>
      </c>
      <c r="C346" s="7" t="n">
        <f aca="false">RANDBETWEEN(0,1)</f>
        <v>1</v>
      </c>
      <c r="D346" s="7" t="str">
        <f aca="false">IF(C346=0, "Homme", "Femme")</f>
        <v>Femme</v>
      </c>
      <c r="E346" s="7" t="n">
        <f aca="false">RANDBETWEEN(1,3)</f>
        <v>1</v>
      </c>
      <c r="F346" s="7" t="str">
        <f aca="false">IF(E346=1, "Favorable", IF(E346=2, "Défavorable", "Ne se prononce pas"))</f>
        <v>Favorable</v>
      </c>
    </row>
    <row r="347" customFormat="false" ht="15" hidden="false" customHeight="false" outlineLevel="0" collapsed="false">
      <c r="A347" s="7" t="n">
        <f aca="false">A346+1</f>
        <v>346</v>
      </c>
      <c r="B347" s="7" t="n">
        <f aca="false">RANDBETWEEN(30,50)</f>
        <v>41</v>
      </c>
      <c r="C347" s="7" t="n">
        <f aca="false">RANDBETWEEN(0,1)</f>
        <v>1</v>
      </c>
      <c r="D347" s="7" t="str">
        <f aca="false">IF(C347=0, "Homme", "Femme")</f>
        <v>Femme</v>
      </c>
      <c r="E347" s="7" t="n">
        <f aca="false">RANDBETWEEN(1,3)</f>
        <v>3</v>
      </c>
      <c r="F347" s="7" t="str">
        <f aca="false">IF(E347=1, "Favorable", IF(E347=2, "Défavorable", "Ne se prononce pas"))</f>
        <v>Ne se prononce pas</v>
      </c>
    </row>
    <row r="348" customFormat="false" ht="15" hidden="false" customHeight="false" outlineLevel="0" collapsed="false">
      <c r="A348" s="7" t="n">
        <f aca="false">A347+1</f>
        <v>347</v>
      </c>
      <c r="B348" s="7" t="n">
        <f aca="false">RANDBETWEEN(30,50)</f>
        <v>32</v>
      </c>
      <c r="C348" s="7" t="n">
        <f aca="false">RANDBETWEEN(0,1)</f>
        <v>0</v>
      </c>
      <c r="D348" s="7" t="str">
        <f aca="false">IF(C348=0, "Homme", "Femme")</f>
        <v>Homme</v>
      </c>
      <c r="E348" s="7" t="n">
        <f aca="false">RANDBETWEEN(1,3)</f>
        <v>3</v>
      </c>
      <c r="F348" s="7" t="str">
        <f aca="false">IF(E348=1, "Favorable", IF(E348=2, "Défavorable", "Ne se prononce pas"))</f>
        <v>Ne se prononce pas</v>
      </c>
    </row>
    <row r="349" customFormat="false" ht="15" hidden="false" customHeight="false" outlineLevel="0" collapsed="false">
      <c r="A349" s="7" t="n">
        <f aca="false">A348+1</f>
        <v>348</v>
      </c>
      <c r="B349" s="7" t="n">
        <f aca="false">RANDBETWEEN(30,50)</f>
        <v>50</v>
      </c>
      <c r="C349" s="7" t="n">
        <f aca="false">RANDBETWEEN(0,1)</f>
        <v>1</v>
      </c>
      <c r="D349" s="7" t="str">
        <f aca="false">IF(C349=0, "Homme", "Femme")</f>
        <v>Femme</v>
      </c>
      <c r="E349" s="7" t="n">
        <f aca="false">RANDBETWEEN(1,3)</f>
        <v>2</v>
      </c>
      <c r="F349" s="7" t="str">
        <f aca="false">IF(E349=1, "Favorable", IF(E349=2, "Défavorable", "Ne se prononce pas"))</f>
        <v>Défavorable</v>
      </c>
    </row>
    <row r="350" customFormat="false" ht="15" hidden="false" customHeight="false" outlineLevel="0" collapsed="false">
      <c r="A350" s="7" t="n">
        <f aca="false">A349+1</f>
        <v>349</v>
      </c>
      <c r="B350" s="7" t="n">
        <f aca="false">RANDBETWEEN(30,50)</f>
        <v>32</v>
      </c>
      <c r="C350" s="7" t="n">
        <f aca="false">RANDBETWEEN(0,1)</f>
        <v>1</v>
      </c>
      <c r="D350" s="7" t="str">
        <f aca="false">IF(C350=0, "Homme", "Femme")</f>
        <v>Femme</v>
      </c>
      <c r="E350" s="7" t="n">
        <f aca="false">RANDBETWEEN(1,3)</f>
        <v>3</v>
      </c>
      <c r="F350" s="7" t="str">
        <f aca="false">IF(E350=1, "Favorable", IF(E350=2, "Défavorable", "Ne se prononce pas"))</f>
        <v>Ne se prononce pas</v>
      </c>
    </row>
    <row r="351" customFormat="false" ht="15" hidden="false" customHeight="false" outlineLevel="0" collapsed="false">
      <c r="A351" s="7" t="n">
        <f aca="false">A350+1</f>
        <v>350</v>
      </c>
      <c r="B351" s="7" t="n">
        <f aca="false">RANDBETWEEN(30,50)</f>
        <v>40</v>
      </c>
      <c r="C351" s="7" t="n">
        <f aca="false">RANDBETWEEN(0,1)</f>
        <v>1</v>
      </c>
      <c r="D351" s="7" t="str">
        <f aca="false">IF(C351=0, "Homme", "Femme")</f>
        <v>Femme</v>
      </c>
      <c r="E351" s="7" t="n">
        <f aca="false">RANDBETWEEN(1,3)</f>
        <v>2</v>
      </c>
      <c r="F351" s="7" t="str">
        <f aca="false">IF(E351=1, "Favorable", IF(E351=2, "Défavorable", "Ne se prononce pas"))</f>
        <v>Défavorable</v>
      </c>
    </row>
    <row r="352" customFormat="false" ht="15" hidden="false" customHeight="false" outlineLevel="0" collapsed="false">
      <c r="A352" s="7" t="n">
        <f aca="false">A351+1</f>
        <v>351</v>
      </c>
      <c r="B352" s="7" t="n">
        <f aca="false">RANDBETWEEN(30,50)</f>
        <v>30</v>
      </c>
      <c r="C352" s="7" t="n">
        <f aca="false">RANDBETWEEN(0,1)</f>
        <v>1</v>
      </c>
      <c r="D352" s="7" t="str">
        <f aca="false">IF(C352=0, "Homme", "Femme")</f>
        <v>Femme</v>
      </c>
      <c r="E352" s="7" t="n">
        <f aca="false">RANDBETWEEN(1,3)</f>
        <v>1</v>
      </c>
      <c r="F352" s="7" t="str">
        <f aca="false">IF(E352=1, "Favorable", IF(E352=2, "Défavorable", "Ne se prononce pas"))</f>
        <v>Favorable</v>
      </c>
    </row>
    <row r="353" customFormat="false" ht="15" hidden="false" customHeight="false" outlineLevel="0" collapsed="false">
      <c r="A353" s="7" t="n">
        <f aca="false">A352+1</f>
        <v>352</v>
      </c>
      <c r="B353" s="7" t="n">
        <f aca="false">RANDBETWEEN(30,50)</f>
        <v>32</v>
      </c>
      <c r="C353" s="7" t="n">
        <f aca="false">RANDBETWEEN(0,1)</f>
        <v>0</v>
      </c>
      <c r="D353" s="7" t="str">
        <f aca="false">IF(C353=0, "Homme", "Femme")</f>
        <v>Homme</v>
      </c>
      <c r="E353" s="7" t="n">
        <f aca="false">RANDBETWEEN(1,3)</f>
        <v>3</v>
      </c>
      <c r="F353" s="7" t="str">
        <f aca="false">IF(E353=1, "Favorable", IF(E353=2, "Défavorable", "Ne se prononce pas"))</f>
        <v>Ne se prononce pas</v>
      </c>
    </row>
    <row r="354" customFormat="false" ht="15" hidden="false" customHeight="false" outlineLevel="0" collapsed="false">
      <c r="A354" s="7" t="n">
        <f aca="false">A353+1</f>
        <v>353</v>
      </c>
      <c r="B354" s="7" t="n">
        <f aca="false">RANDBETWEEN(30,50)</f>
        <v>49</v>
      </c>
      <c r="C354" s="7" t="n">
        <f aca="false">RANDBETWEEN(0,1)</f>
        <v>0</v>
      </c>
      <c r="D354" s="7" t="str">
        <f aca="false">IF(C354=0, "Homme", "Femme")</f>
        <v>Homme</v>
      </c>
      <c r="E354" s="7" t="n">
        <f aca="false">RANDBETWEEN(1,3)</f>
        <v>1</v>
      </c>
      <c r="F354" s="7" t="str">
        <f aca="false">IF(E354=1, "Favorable", IF(E354=2, "Défavorable", "Ne se prononce pas"))</f>
        <v>Favorable</v>
      </c>
    </row>
    <row r="355" customFormat="false" ht="15" hidden="false" customHeight="false" outlineLevel="0" collapsed="false">
      <c r="A355" s="7" t="n">
        <f aca="false">A354+1</f>
        <v>354</v>
      </c>
      <c r="B355" s="7" t="n">
        <f aca="false">RANDBETWEEN(30,50)</f>
        <v>33</v>
      </c>
      <c r="C355" s="7" t="n">
        <f aca="false">RANDBETWEEN(0,1)</f>
        <v>0</v>
      </c>
      <c r="D355" s="7" t="str">
        <f aca="false">IF(C355=0, "Homme", "Femme")</f>
        <v>Homme</v>
      </c>
      <c r="E355" s="7" t="n">
        <f aca="false">RANDBETWEEN(1,3)</f>
        <v>1</v>
      </c>
      <c r="F355" s="7" t="str">
        <f aca="false">IF(E355=1, "Favorable", IF(E355=2, "Défavorable", "Ne se prononce pas"))</f>
        <v>Favorable</v>
      </c>
    </row>
    <row r="356" customFormat="false" ht="15" hidden="false" customHeight="false" outlineLevel="0" collapsed="false">
      <c r="A356" s="7" t="n">
        <f aca="false">A355+1</f>
        <v>355</v>
      </c>
      <c r="B356" s="7" t="n">
        <f aca="false">RANDBETWEEN(30,50)</f>
        <v>34</v>
      </c>
      <c r="C356" s="7" t="n">
        <f aca="false">RANDBETWEEN(0,1)</f>
        <v>1</v>
      </c>
      <c r="D356" s="7" t="str">
        <f aca="false">IF(C356=0, "Homme", "Femme")</f>
        <v>Femme</v>
      </c>
      <c r="E356" s="7" t="n">
        <f aca="false">RANDBETWEEN(1,3)</f>
        <v>3</v>
      </c>
      <c r="F356" s="7" t="str">
        <f aca="false">IF(E356=1, "Favorable", IF(E356=2, "Défavorable", "Ne se prononce pas"))</f>
        <v>Ne se prononce pas</v>
      </c>
    </row>
    <row r="357" customFormat="false" ht="15" hidden="false" customHeight="false" outlineLevel="0" collapsed="false">
      <c r="A357" s="7" t="n">
        <f aca="false">A356+1</f>
        <v>356</v>
      </c>
      <c r="B357" s="7" t="n">
        <f aca="false">RANDBETWEEN(30,50)</f>
        <v>31</v>
      </c>
      <c r="C357" s="7" t="n">
        <f aca="false">RANDBETWEEN(0,1)</f>
        <v>1</v>
      </c>
      <c r="D357" s="7" t="str">
        <f aca="false">IF(C357=0, "Homme", "Femme")</f>
        <v>Femme</v>
      </c>
      <c r="E357" s="7" t="n">
        <f aca="false">RANDBETWEEN(1,3)</f>
        <v>1</v>
      </c>
      <c r="F357" s="7" t="str">
        <f aca="false">IF(E357=1, "Favorable", IF(E357=2, "Défavorable", "Ne se prononce pas"))</f>
        <v>Favorable</v>
      </c>
    </row>
    <row r="358" customFormat="false" ht="15" hidden="false" customHeight="false" outlineLevel="0" collapsed="false">
      <c r="A358" s="7" t="n">
        <f aca="false">A357+1</f>
        <v>357</v>
      </c>
      <c r="B358" s="7" t="n">
        <f aca="false">RANDBETWEEN(30,50)</f>
        <v>41</v>
      </c>
      <c r="C358" s="7" t="n">
        <f aca="false">RANDBETWEEN(0,1)</f>
        <v>1</v>
      </c>
      <c r="D358" s="7" t="str">
        <f aca="false">IF(C358=0, "Homme", "Femme")</f>
        <v>Femme</v>
      </c>
      <c r="E358" s="7" t="n">
        <f aca="false">RANDBETWEEN(1,3)</f>
        <v>2</v>
      </c>
      <c r="F358" s="7" t="str">
        <f aca="false">IF(E358=1, "Favorable", IF(E358=2, "Défavorable", "Ne se prononce pas"))</f>
        <v>Défavorable</v>
      </c>
    </row>
    <row r="359" customFormat="false" ht="15" hidden="false" customHeight="false" outlineLevel="0" collapsed="false">
      <c r="A359" s="7" t="n">
        <f aca="false">A358+1</f>
        <v>358</v>
      </c>
      <c r="B359" s="7" t="n">
        <f aca="false">RANDBETWEEN(30,50)</f>
        <v>35</v>
      </c>
      <c r="C359" s="7" t="n">
        <f aca="false">RANDBETWEEN(0,1)</f>
        <v>0</v>
      </c>
      <c r="D359" s="7" t="str">
        <f aca="false">IF(C359=0, "Homme", "Femme")</f>
        <v>Homme</v>
      </c>
      <c r="E359" s="7" t="n">
        <f aca="false">RANDBETWEEN(1,3)</f>
        <v>1</v>
      </c>
      <c r="F359" s="7" t="str">
        <f aca="false">IF(E359=1, "Favorable", IF(E359=2, "Défavorable", "Ne se prononce pas"))</f>
        <v>Favorable</v>
      </c>
    </row>
    <row r="360" customFormat="false" ht="15" hidden="false" customHeight="false" outlineLevel="0" collapsed="false">
      <c r="A360" s="7" t="n">
        <f aca="false">A359+1</f>
        <v>359</v>
      </c>
      <c r="B360" s="7" t="n">
        <f aca="false">RANDBETWEEN(30,50)</f>
        <v>48</v>
      </c>
      <c r="C360" s="7" t="n">
        <f aca="false">RANDBETWEEN(0,1)</f>
        <v>0</v>
      </c>
      <c r="D360" s="7" t="str">
        <f aca="false">IF(C360=0, "Homme", "Femme")</f>
        <v>Homme</v>
      </c>
      <c r="E360" s="7" t="n">
        <f aca="false">RANDBETWEEN(1,3)</f>
        <v>3</v>
      </c>
      <c r="F360" s="7" t="str">
        <f aca="false">IF(E360=1, "Favorable", IF(E360=2, "Défavorable", "Ne se prononce pas"))</f>
        <v>Ne se prononce pas</v>
      </c>
    </row>
    <row r="361" customFormat="false" ht="15" hidden="false" customHeight="false" outlineLevel="0" collapsed="false">
      <c r="A361" s="7" t="n">
        <f aca="false">A360+1</f>
        <v>360</v>
      </c>
      <c r="B361" s="7" t="n">
        <f aca="false">RANDBETWEEN(30,50)</f>
        <v>33</v>
      </c>
      <c r="C361" s="7" t="n">
        <f aca="false">RANDBETWEEN(0,1)</f>
        <v>1</v>
      </c>
      <c r="D361" s="7" t="str">
        <f aca="false">IF(C361=0, "Homme", "Femme")</f>
        <v>Femme</v>
      </c>
      <c r="E361" s="7" t="n">
        <f aca="false">RANDBETWEEN(1,3)</f>
        <v>3</v>
      </c>
      <c r="F361" s="7" t="str">
        <f aca="false">IF(E361=1, "Favorable", IF(E361=2, "Défavorable", "Ne se prononce pas"))</f>
        <v>Ne se prononce pas</v>
      </c>
    </row>
    <row r="362" customFormat="false" ht="15" hidden="false" customHeight="false" outlineLevel="0" collapsed="false">
      <c r="A362" s="7" t="n">
        <f aca="false">A361+1</f>
        <v>361</v>
      </c>
      <c r="B362" s="7" t="n">
        <f aca="false">RANDBETWEEN(30,50)</f>
        <v>42</v>
      </c>
      <c r="C362" s="7" t="n">
        <f aca="false">RANDBETWEEN(0,1)</f>
        <v>1</v>
      </c>
      <c r="D362" s="7" t="str">
        <f aca="false">IF(C362=0, "Homme", "Femme")</f>
        <v>Femme</v>
      </c>
      <c r="E362" s="7" t="n">
        <f aca="false">RANDBETWEEN(1,3)</f>
        <v>3</v>
      </c>
      <c r="F362" s="7" t="str">
        <f aca="false">IF(E362=1, "Favorable", IF(E362=2, "Défavorable", "Ne se prononce pas"))</f>
        <v>Ne se prononce pas</v>
      </c>
    </row>
    <row r="363" customFormat="false" ht="15" hidden="false" customHeight="false" outlineLevel="0" collapsed="false">
      <c r="A363" s="7" t="n">
        <f aca="false">A362+1</f>
        <v>362</v>
      </c>
      <c r="B363" s="7" t="n">
        <f aca="false">RANDBETWEEN(30,50)</f>
        <v>50</v>
      </c>
      <c r="C363" s="7" t="n">
        <f aca="false">RANDBETWEEN(0,1)</f>
        <v>0</v>
      </c>
      <c r="D363" s="7" t="str">
        <f aca="false">IF(C363=0, "Homme", "Femme")</f>
        <v>Homme</v>
      </c>
      <c r="E363" s="7" t="n">
        <f aca="false">RANDBETWEEN(1,3)</f>
        <v>1</v>
      </c>
      <c r="F363" s="7" t="str">
        <f aca="false">IF(E363=1, "Favorable", IF(E363=2, "Défavorable", "Ne se prononce pas"))</f>
        <v>Favorable</v>
      </c>
    </row>
    <row r="364" customFormat="false" ht="15" hidden="false" customHeight="false" outlineLevel="0" collapsed="false">
      <c r="A364" s="7" t="n">
        <f aca="false">A363+1</f>
        <v>363</v>
      </c>
      <c r="B364" s="7" t="n">
        <f aca="false">RANDBETWEEN(30,50)</f>
        <v>32</v>
      </c>
      <c r="C364" s="7" t="n">
        <f aca="false">RANDBETWEEN(0,1)</f>
        <v>0</v>
      </c>
      <c r="D364" s="7" t="str">
        <f aca="false">IF(C364=0, "Homme", "Femme")</f>
        <v>Homme</v>
      </c>
      <c r="E364" s="7" t="n">
        <f aca="false">RANDBETWEEN(1,3)</f>
        <v>3</v>
      </c>
      <c r="F364" s="7" t="str">
        <f aca="false">IF(E364=1, "Favorable", IF(E364=2, "Défavorable", "Ne se prononce pas"))</f>
        <v>Ne se prononce pas</v>
      </c>
    </row>
    <row r="365" customFormat="false" ht="15" hidden="false" customHeight="false" outlineLevel="0" collapsed="false">
      <c r="A365" s="7" t="n">
        <f aca="false">A364+1</f>
        <v>364</v>
      </c>
      <c r="B365" s="7" t="n">
        <f aca="false">RANDBETWEEN(30,50)</f>
        <v>50</v>
      </c>
      <c r="C365" s="7" t="n">
        <f aca="false">RANDBETWEEN(0,1)</f>
        <v>0</v>
      </c>
      <c r="D365" s="7" t="str">
        <f aca="false">IF(C365=0, "Homme", "Femme")</f>
        <v>Homme</v>
      </c>
      <c r="E365" s="7" t="n">
        <f aca="false">RANDBETWEEN(1,3)</f>
        <v>1</v>
      </c>
      <c r="F365" s="7" t="str">
        <f aca="false">IF(E365=1, "Favorable", IF(E365=2, "Défavorable", "Ne se prononce pas"))</f>
        <v>Favorable</v>
      </c>
    </row>
    <row r="366" customFormat="false" ht="15" hidden="false" customHeight="false" outlineLevel="0" collapsed="false">
      <c r="A366" s="7" t="n">
        <f aca="false">A365+1</f>
        <v>365</v>
      </c>
      <c r="B366" s="7" t="n">
        <f aca="false">RANDBETWEEN(30,50)</f>
        <v>30</v>
      </c>
      <c r="C366" s="7" t="n">
        <f aca="false">RANDBETWEEN(0,1)</f>
        <v>0</v>
      </c>
      <c r="D366" s="7" t="str">
        <f aca="false">IF(C366=0, "Homme", "Femme")</f>
        <v>Homme</v>
      </c>
      <c r="E366" s="7" t="n">
        <f aca="false">RANDBETWEEN(1,3)</f>
        <v>2</v>
      </c>
      <c r="F366" s="7" t="str">
        <f aca="false">IF(E366=1, "Favorable", IF(E366=2, "Défavorable", "Ne se prononce pas"))</f>
        <v>Défavorable</v>
      </c>
    </row>
    <row r="367" customFormat="false" ht="15" hidden="false" customHeight="false" outlineLevel="0" collapsed="false">
      <c r="A367" s="7" t="n">
        <f aca="false">A366+1</f>
        <v>366</v>
      </c>
      <c r="B367" s="7" t="n">
        <f aca="false">RANDBETWEEN(30,50)</f>
        <v>43</v>
      </c>
      <c r="C367" s="7" t="n">
        <f aca="false">RANDBETWEEN(0,1)</f>
        <v>1</v>
      </c>
      <c r="D367" s="7" t="str">
        <f aca="false">IF(C367=0, "Homme", "Femme")</f>
        <v>Femme</v>
      </c>
      <c r="E367" s="7" t="n">
        <f aca="false">RANDBETWEEN(1,3)</f>
        <v>2</v>
      </c>
      <c r="F367" s="7" t="str">
        <f aca="false">IF(E367=1, "Favorable", IF(E367=2, "Défavorable", "Ne se prononce pas"))</f>
        <v>Défavorable</v>
      </c>
    </row>
    <row r="368" customFormat="false" ht="15" hidden="false" customHeight="false" outlineLevel="0" collapsed="false">
      <c r="A368" s="7" t="n">
        <f aca="false">A367+1</f>
        <v>367</v>
      </c>
      <c r="B368" s="7" t="n">
        <f aca="false">RANDBETWEEN(30,50)</f>
        <v>35</v>
      </c>
      <c r="C368" s="7" t="n">
        <f aca="false">RANDBETWEEN(0,1)</f>
        <v>1</v>
      </c>
      <c r="D368" s="7" t="str">
        <f aca="false">IF(C368=0, "Homme", "Femme")</f>
        <v>Femme</v>
      </c>
      <c r="E368" s="7" t="n">
        <f aca="false">RANDBETWEEN(1,3)</f>
        <v>2</v>
      </c>
      <c r="F368" s="7" t="str">
        <f aca="false">IF(E368=1, "Favorable", IF(E368=2, "Défavorable", "Ne se prononce pas"))</f>
        <v>Défavorable</v>
      </c>
    </row>
    <row r="369" customFormat="false" ht="15" hidden="false" customHeight="false" outlineLevel="0" collapsed="false">
      <c r="A369" s="7" t="n">
        <f aca="false">A368+1</f>
        <v>368</v>
      </c>
      <c r="B369" s="7" t="n">
        <f aca="false">RANDBETWEEN(30,50)</f>
        <v>39</v>
      </c>
      <c r="C369" s="7" t="n">
        <f aca="false">RANDBETWEEN(0,1)</f>
        <v>0</v>
      </c>
      <c r="D369" s="7" t="str">
        <f aca="false">IF(C369=0, "Homme", "Femme")</f>
        <v>Homme</v>
      </c>
      <c r="E369" s="7" t="n">
        <f aca="false">RANDBETWEEN(1,3)</f>
        <v>1</v>
      </c>
      <c r="F369" s="7" t="str">
        <f aca="false">IF(E369=1, "Favorable", IF(E369=2, "Défavorable", "Ne se prononce pas"))</f>
        <v>Favorable</v>
      </c>
    </row>
    <row r="370" customFormat="false" ht="15" hidden="false" customHeight="false" outlineLevel="0" collapsed="false">
      <c r="A370" s="7" t="n">
        <f aca="false">A369+1</f>
        <v>369</v>
      </c>
      <c r="B370" s="7" t="n">
        <f aca="false">RANDBETWEEN(30,50)</f>
        <v>35</v>
      </c>
      <c r="C370" s="7" t="n">
        <f aca="false">RANDBETWEEN(0,1)</f>
        <v>1</v>
      </c>
      <c r="D370" s="7" t="str">
        <f aca="false">IF(C370=0, "Homme", "Femme")</f>
        <v>Femme</v>
      </c>
      <c r="E370" s="7" t="n">
        <f aca="false">RANDBETWEEN(1,3)</f>
        <v>1</v>
      </c>
      <c r="F370" s="7" t="str">
        <f aca="false">IF(E370=1, "Favorable", IF(E370=2, "Défavorable", "Ne se prononce pas"))</f>
        <v>Favorable</v>
      </c>
    </row>
    <row r="371" customFormat="false" ht="15" hidden="false" customHeight="false" outlineLevel="0" collapsed="false">
      <c r="A371" s="7" t="n">
        <f aca="false">A370+1</f>
        <v>370</v>
      </c>
      <c r="B371" s="7" t="n">
        <f aca="false">RANDBETWEEN(30,50)</f>
        <v>48</v>
      </c>
      <c r="C371" s="7" t="n">
        <f aca="false">RANDBETWEEN(0,1)</f>
        <v>0</v>
      </c>
      <c r="D371" s="7" t="str">
        <f aca="false">IF(C371=0, "Homme", "Femme")</f>
        <v>Homme</v>
      </c>
      <c r="E371" s="7" t="n">
        <f aca="false">RANDBETWEEN(1,3)</f>
        <v>2</v>
      </c>
      <c r="F371" s="7" t="str">
        <f aca="false">IF(E371=1, "Favorable", IF(E371=2, "Défavorable", "Ne se prononce pas"))</f>
        <v>Défavorable</v>
      </c>
    </row>
    <row r="372" customFormat="false" ht="15" hidden="false" customHeight="false" outlineLevel="0" collapsed="false">
      <c r="A372" s="7" t="n">
        <f aca="false">A371+1</f>
        <v>371</v>
      </c>
      <c r="B372" s="7" t="n">
        <f aca="false">RANDBETWEEN(30,50)</f>
        <v>30</v>
      </c>
      <c r="C372" s="7" t="n">
        <f aca="false">RANDBETWEEN(0,1)</f>
        <v>1</v>
      </c>
      <c r="D372" s="7" t="str">
        <f aca="false">IF(C372=0, "Homme", "Femme")</f>
        <v>Femme</v>
      </c>
      <c r="E372" s="7" t="n">
        <f aca="false">RANDBETWEEN(1,3)</f>
        <v>1</v>
      </c>
      <c r="F372" s="7" t="str">
        <f aca="false">IF(E372=1, "Favorable", IF(E372=2, "Défavorable", "Ne se prononce pas"))</f>
        <v>Favorable</v>
      </c>
    </row>
    <row r="373" customFormat="false" ht="15" hidden="false" customHeight="false" outlineLevel="0" collapsed="false">
      <c r="A373" s="7" t="n">
        <f aca="false">A372+1</f>
        <v>372</v>
      </c>
      <c r="B373" s="7" t="n">
        <f aca="false">RANDBETWEEN(30,50)</f>
        <v>34</v>
      </c>
      <c r="C373" s="7" t="n">
        <f aca="false">RANDBETWEEN(0,1)</f>
        <v>0</v>
      </c>
      <c r="D373" s="7" t="str">
        <f aca="false">IF(C373=0, "Homme", "Femme")</f>
        <v>Homme</v>
      </c>
      <c r="E373" s="7" t="n">
        <f aca="false">RANDBETWEEN(1,3)</f>
        <v>3</v>
      </c>
      <c r="F373" s="7" t="str">
        <f aca="false">IF(E373=1, "Favorable", IF(E373=2, "Défavorable", "Ne se prononce pas"))</f>
        <v>Ne se prononce pas</v>
      </c>
    </row>
    <row r="374" customFormat="false" ht="15" hidden="false" customHeight="false" outlineLevel="0" collapsed="false">
      <c r="A374" s="7" t="n">
        <f aca="false">A373+1</f>
        <v>373</v>
      </c>
      <c r="B374" s="7" t="n">
        <f aca="false">RANDBETWEEN(30,50)</f>
        <v>48</v>
      </c>
      <c r="C374" s="7" t="n">
        <f aca="false">RANDBETWEEN(0,1)</f>
        <v>1</v>
      </c>
      <c r="D374" s="7" t="str">
        <f aca="false">IF(C374=0, "Homme", "Femme")</f>
        <v>Femme</v>
      </c>
      <c r="E374" s="7" t="n">
        <f aca="false">RANDBETWEEN(1,3)</f>
        <v>1</v>
      </c>
      <c r="F374" s="7" t="str">
        <f aca="false">IF(E374=1, "Favorable", IF(E374=2, "Défavorable", "Ne se prononce pas"))</f>
        <v>Favorable</v>
      </c>
    </row>
    <row r="375" customFormat="false" ht="15" hidden="false" customHeight="false" outlineLevel="0" collapsed="false">
      <c r="A375" s="7" t="n">
        <f aca="false">A374+1</f>
        <v>374</v>
      </c>
      <c r="B375" s="7" t="n">
        <f aca="false">RANDBETWEEN(30,50)</f>
        <v>45</v>
      </c>
      <c r="C375" s="7" t="n">
        <f aca="false">RANDBETWEEN(0,1)</f>
        <v>1</v>
      </c>
      <c r="D375" s="7" t="str">
        <f aca="false">IF(C375=0, "Homme", "Femme")</f>
        <v>Femme</v>
      </c>
      <c r="E375" s="7" t="n">
        <f aca="false">RANDBETWEEN(1,3)</f>
        <v>1</v>
      </c>
      <c r="F375" s="7" t="str">
        <f aca="false">IF(E375=1, "Favorable", IF(E375=2, "Défavorable", "Ne se prononce pas"))</f>
        <v>Favorable</v>
      </c>
    </row>
    <row r="376" customFormat="false" ht="15" hidden="false" customHeight="false" outlineLevel="0" collapsed="false">
      <c r="A376" s="7" t="n">
        <f aca="false">A375+1</f>
        <v>375</v>
      </c>
      <c r="B376" s="7" t="n">
        <f aca="false">RANDBETWEEN(30,50)</f>
        <v>42</v>
      </c>
      <c r="C376" s="7" t="n">
        <f aca="false">RANDBETWEEN(0,1)</f>
        <v>1</v>
      </c>
      <c r="D376" s="7" t="str">
        <f aca="false">IF(C376=0, "Homme", "Femme")</f>
        <v>Femme</v>
      </c>
      <c r="E376" s="7" t="n">
        <f aca="false">RANDBETWEEN(1,3)</f>
        <v>2</v>
      </c>
      <c r="F376" s="7" t="str">
        <f aca="false">IF(E376=1, "Favorable", IF(E376=2, "Défavorable", "Ne se prononce pas"))</f>
        <v>Défavorable</v>
      </c>
    </row>
    <row r="377" customFormat="false" ht="15" hidden="false" customHeight="false" outlineLevel="0" collapsed="false">
      <c r="A377" s="7" t="n">
        <f aca="false">A376+1</f>
        <v>376</v>
      </c>
      <c r="B377" s="7" t="n">
        <f aca="false">RANDBETWEEN(30,50)</f>
        <v>41</v>
      </c>
      <c r="C377" s="7" t="n">
        <f aca="false">RANDBETWEEN(0,1)</f>
        <v>1</v>
      </c>
      <c r="D377" s="7" t="str">
        <f aca="false">IF(C377=0, "Homme", "Femme")</f>
        <v>Femme</v>
      </c>
      <c r="E377" s="7" t="n">
        <f aca="false">RANDBETWEEN(1,3)</f>
        <v>1</v>
      </c>
      <c r="F377" s="7" t="str">
        <f aca="false">IF(E377=1, "Favorable", IF(E377=2, "Défavorable", "Ne se prononce pas"))</f>
        <v>Favorable</v>
      </c>
    </row>
    <row r="378" customFormat="false" ht="15" hidden="false" customHeight="false" outlineLevel="0" collapsed="false">
      <c r="A378" s="7" t="n">
        <f aca="false">A377+1</f>
        <v>377</v>
      </c>
      <c r="B378" s="7" t="n">
        <f aca="false">RANDBETWEEN(30,50)</f>
        <v>47</v>
      </c>
      <c r="C378" s="7" t="n">
        <f aca="false">RANDBETWEEN(0,1)</f>
        <v>1</v>
      </c>
      <c r="D378" s="7" t="str">
        <f aca="false">IF(C378=0, "Homme", "Femme")</f>
        <v>Femme</v>
      </c>
      <c r="E378" s="7" t="n">
        <f aca="false">RANDBETWEEN(1,3)</f>
        <v>3</v>
      </c>
      <c r="F378" s="7" t="str">
        <f aca="false">IF(E378=1, "Favorable", IF(E378=2, "Défavorable", "Ne se prononce pas"))</f>
        <v>Ne se prononce pas</v>
      </c>
    </row>
    <row r="379" customFormat="false" ht="15" hidden="false" customHeight="false" outlineLevel="0" collapsed="false">
      <c r="A379" s="7" t="n">
        <f aca="false">A378+1</f>
        <v>378</v>
      </c>
      <c r="B379" s="7" t="n">
        <f aca="false">RANDBETWEEN(30,50)</f>
        <v>43</v>
      </c>
      <c r="C379" s="7" t="n">
        <f aca="false">RANDBETWEEN(0,1)</f>
        <v>0</v>
      </c>
      <c r="D379" s="7" t="str">
        <f aca="false">IF(C379=0, "Homme", "Femme")</f>
        <v>Homme</v>
      </c>
      <c r="E379" s="7" t="n">
        <f aca="false">RANDBETWEEN(1,3)</f>
        <v>2</v>
      </c>
      <c r="F379" s="7" t="str">
        <f aca="false">IF(E379=1, "Favorable", IF(E379=2, "Défavorable", "Ne se prononce pas"))</f>
        <v>Défavorable</v>
      </c>
    </row>
    <row r="380" customFormat="false" ht="15" hidden="false" customHeight="false" outlineLevel="0" collapsed="false">
      <c r="A380" s="7" t="n">
        <f aca="false">A379+1</f>
        <v>379</v>
      </c>
      <c r="B380" s="7" t="n">
        <f aca="false">RANDBETWEEN(30,50)</f>
        <v>39</v>
      </c>
      <c r="C380" s="7" t="n">
        <f aca="false">RANDBETWEEN(0,1)</f>
        <v>1</v>
      </c>
      <c r="D380" s="7" t="str">
        <f aca="false">IF(C380=0, "Homme", "Femme")</f>
        <v>Femme</v>
      </c>
      <c r="E380" s="7" t="n">
        <f aca="false">RANDBETWEEN(1,3)</f>
        <v>1</v>
      </c>
      <c r="F380" s="7" t="str">
        <f aca="false">IF(E380=1, "Favorable", IF(E380=2, "Défavorable", "Ne se prononce pas"))</f>
        <v>Favorable</v>
      </c>
    </row>
    <row r="381" customFormat="false" ht="15" hidden="false" customHeight="false" outlineLevel="0" collapsed="false">
      <c r="A381" s="7" t="n">
        <f aca="false">A380+1</f>
        <v>380</v>
      </c>
      <c r="B381" s="7" t="n">
        <f aca="false">RANDBETWEEN(30,50)</f>
        <v>38</v>
      </c>
      <c r="C381" s="7" t="n">
        <f aca="false">RANDBETWEEN(0,1)</f>
        <v>1</v>
      </c>
      <c r="D381" s="7" t="str">
        <f aca="false">IF(C381=0, "Homme", "Femme")</f>
        <v>Femme</v>
      </c>
      <c r="E381" s="7" t="n">
        <f aca="false">RANDBETWEEN(1,3)</f>
        <v>2</v>
      </c>
      <c r="F381" s="7" t="str">
        <f aca="false">IF(E381=1, "Favorable", IF(E381=2, "Défavorable", "Ne se prononce pas"))</f>
        <v>Défavorable</v>
      </c>
    </row>
    <row r="382" customFormat="false" ht="15" hidden="false" customHeight="false" outlineLevel="0" collapsed="false">
      <c r="A382" s="7" t="n">
        <f aca="false">A381+1</f>
        <v>381</v>
      </c>
      <c r="B382" s="7" t="n">
        <f aca="false">RANDBETWEEN(30,50)</f>
        <v>31</v>
      </c>
      <c r="C382" s="7" t="n">
        <f aca="false">RANDBETWEEN(0,1)</f>
        <v>0</v>
      </c>
      <c r="D382" s="7" t="str">
        <f aca="false">IF(C382=0, "Homme", "Femme")</f>
        <v>Homme</v>
      </c>
      <c r="E382" s="7" t="n">
        <f aca="false">RANDBETWEEN(1,3)</f>
        <v>1</v>
      </c>
      <c r="F382" s="7" t="str">
        <f aca="false">IF(E382=1, "Favorable", IF(E382=2, "Défavorable", "Ne se prononce pas"))</f>
        <v>Favorable</v>
      </c>
    </row>
    <row r="383" customFormat="false" ht="15" hidden="false" customHeight="false" outlineLevel="0" collapsed="false">
      <c r="A383" s="7" t="n">
        <f aca="false">A382+1</f>
        <v>382</v>
      </c>
      <c r="B383" s="7" t="n">
        <f aca="false">RANDBETWEEN(30,50)</f>
        <v>32</v>
      </c>
      <c r="C383" s="7" t="n">
        <f aca="false">RANDBETWEEN(0,1)</f>
        <v>0</v>
      </c>
      <c r="D383" s="7" t="str">
        <f aca="false">IF(C383=0, "Homme", "Femme")</f>
        <v>Homme</v>
      </c>
      <c r="E383" s="7" t="n">
        <f aca="false">RANDBETWEEN(1,3)</f>
        <v>3</v>
      </c>
      <c r="F383" s="7" t="str">
        <f aca="false">IF(E383=1, "Favorable", IF(E383=2, "Défavorable", "Ne se prononce pas"))</f>
        <v>Ne se prononce pas</v>
      </c>
    </row>
    <row r="384" customFormat="false" ht="15" hidden="false" customHeight="false" outlineLevel="0" collapsed="false">
      <c r="A384" s="7" t="n">
        <f aca="false">A383+1</f>
        <v>383</v>
      </c>
      <c r="B384" s="7" t="n">
        <f aca="false">RANDBETWEEN(30,50)</f>
        <v>46</v>
      </c>
      <c r="C384" s="7" t="n">
        <f aca="false">RANDBETWEEN(0,1)</f>
        <v>1</v>
      </c>
      <c r="D384" s="7" t="str">
        <f aca="false">IF(C384=0, "Homme", "Femme")</f>
        <v>Femme</v>
      </c>
      <c r="E384" s="7" t="n">
        <f aca="false">RANDBETWEEN(1,3)</f>
        <v>2</v>
      </c>
      <c r="F384" s="7" t="str">
        <f aca="false">IF(E384=1, "Favorable", IF(E384=2, "Défavorable", "Ne se prononce pas"))</f>
        <v>Défavorable</v>
      </c>
    </row>
    <row r="385" customFormat="false" ht="15" hidden="false" customHeight="false" outlineLevel="0" collapsed="false">
      <c r="A385" s="7" t="n">
        <f aca="false">A384+1</f>
        <v>384</v>
      </c>
      <c r="B385" s="7" t="n">
        <f aca="false">RANDBETWEEN(30,50)</f>
        <v>43</v>
      </c>
      <c r="C385" s="7" t="n">
        <f aca="false">RANDBETWEEN(0,1)</f>
        <v>0</v>
      </c>
      <c r="D385" s="7" t="str">
        <f aca="false">IF(C385=0, "Homme", "Femme")</f>
        <v>Homme</v>
      </c>
      <c r="E385" s="7" t="n">
        <f aca="false">RANDBETWEEN(1,3)</f>
        <v>2</v>
      </c>
      <c r="F385" s="7" t="str">
        <f aca="false">IF(E385=1, "Favorable", IF(E385=2, "Défavorable", "Ne se prononce pas"))</f>
        <v>Défavorable</v>
      </c>
    </row>
    <row r="386" customFormat="false" ht="15" hidden="false" customHeight="false" outlineLevel="0" collapsed="false">
      <c r="A386" s="7" t="n">
        <f aca="false">A385+1</f>
        <v>385</v>
      </c>
      <c r="B386" s="7" t="n">
        <f aca="false">RANDBETWEEN(30,50)</f>
        <v>32</v>
      </c>
      <c r="C386" s="7" t="n">
        <f aca="false">RANDBETWEEN(0,1)</f>
        <v>0</v>
      </c>
      <c r="D386" s="7" t="str">
        <f aca="false">IF(C386=0, "Homme", "Femme")</f>
        <v>Homme</v>
      </c>
      <c r="E386" s="7" t="n">
        <f aca="false">RANDBETWEEN(1,3)</f>
        <v>1</v>
      </c>
      <c r="F386" s="7" t="str">
        <f aca="false">IF(E386=1, "Favorable", IF(E386=2, "Défavorable", "Ne se prononce pas"))</f>
        <v>Favorable</v>
      </c>
    </row>
    <row r="387" customFormat="false" ht="15" hidden="false" customHeight="false" outlineLevel="0" collapsed="false">
      <c r="A387" s="7" t="n">
        <f aca="false">A386+1</f>
        <v>386</v>
      </c>
      <c r="B387" s="7" t="n">
        <f aca="false">RANDBETWEEN(30,50)</f>
        <v>47</v>
      </c>
      <c r="C387" s="7" t="n">
        <f aca="false">RANDBETWEEN(0,1)</f>
        <v>0</v>
      </c>
      <c r="D387" s="7" t="str">
        <f aca="false">IF(C387=0, "Homme", "Femme")</f>
        <v>Homme</v>
      </c>
      <c r="E387" s="7" t="n">
        <f aca="false">RANDBETWEEN(1,3)</f>
        <v>2</v>
      </c>
      <c r="F387" s="7" t="str">
        <f aca="false">IF(E387=1, "Favorable", IF(E387=2, "Défavorable", "Ne se prononce pas"))</f>
        <v>Défavorable</v>
      </c>
    </row>
    <row r="388" customFormat="false" ht="15" hidden="false" customHeight="false" outlineLevel="0" collapsed="false">
      <c r="A388" s="7" t="n">
        <f aca="false">A387+1</f>
        <v>387</v>
      </c>
      <c r="B388" s="7" t="n">
        <f aca="false">RANDBETWEEN(30,50)</f>
        <v>39</v>
      </c>
      <c r="C388" s="7" t="n">
        <f aca="false">RANDBETWEEN(0,1)</f>
        <v>0</v>
      </c>
      <c r="D388" s="7" t="str">
        <f aca="false">IF(C388=0, "Homme", "Femme")</f>
        <v>Homme</v>
      </c>
      <c r="E388" s="7" t="n">
        <f aca="false">RANDBETWEEN(1,3)</f>
        <v>2</v>
      </c>
      <c r="F388" s="7" t="str">
        <f aca="false">IF(E388=1, "Favorable", IF(E388=2, "Défavorable", "Ne se prononce pas"))</f>
        <v>Défavorable</v>
      </c>
    </row>
    <row r="389" customFormat="false" ht="15" hidden="false" customHeight="false" outlineLevel="0" collapsed="false">
      <c r="A389" s="7" t="n">
        <f aca="false">A388+1</f>
        <v>388</v>
      </c>
      <c r="B389" s="7" t="n">
        <f aca="false">RANDBETWEEN(30,50)</f>
        <v>47</v>
      </c>
      <c r="C389" s="7" t="n">
        <f aca="false">RANDBETWEEN(0,1)</f>
        <v>0</v>
      </c>
      <c r="D389" s="7" t="str">
        <f aca="false">IF(C389=0, "Homme", "Femme")</f>
        <v>Homme</v>
      </c>
      <c r="E389" s="7" t="n">
        <f aca="false">RANDBETWEEN(1,3)</f>
        <v>3</v>
      </c>
      <c r="F389" s="7" t="str">
        <f aca="false">IF(E389=1, "Favorable", IF(E389=2, "Défavorable", "Ne se prononce pas"))</f>
        <v>Ne se prononce pas</v>
      </c>
    </row>
    <row r="390" customFormat="false" ht="15" hidden="false" customHeight="false" outlineLevel="0" collapsed="false">
      <c r="A390" s="7" t="n">
        <f aca="false">A389+1</f>
        <v>389</v>
      </c>
      <c r="B390" s="7" t="n">
        <f aca="false">RANDBETWEEN(30,50)</f>
        <v>48</v>
      </c>
      <c r="C390" s="7" t="n">
        <f aca="false">RANDBETWEEN(0,1)</f>
        <v>1</v>
      </c>
      <c r="D390" s="7" t="str">
        <f aca="false">IF(C390=0, "Homme", "Femme")</f>
        <v>Femme</v>
      </c>
      <c r="E390" s="7" t="n">
        <f aca="false">RANDBETWEEN(1,3)</f>
        <v>3</v>
      </c>
      <c r="F390" s="7" t="str">
        <f aca="false">IF(E390=1, "Favorable", IF(E390=2, "Défavorable", "Ne se prononce pas"))</f>
        <v>Ne se prononce pas</v>
      </c>
    </row>
    <row r="391" customFormat="false" ht="15" hidden="false" customHeight="false" outlineLevel="0" collapsed="false">
      <c r="A391" s="7" t="n">
        <f aca="false">A390+1</f>
        <v>390</v>
      </c>
      <c r="B391" s="7" t="n">
        <f aca="false">RANDBETWEEN(30,50)</f>
        <v>43</v>
      </c>
      <c r="C391" s="7" t="n">
        <f aca="false">RANDBETWEEN(0,1)</f>
        <v>1</v>
      </c>
      <c r="D391" s="7" t="str">
        <f aca="false">IF(C391=0, "Homme", "Femme")</f>
        <v>Femme</v>
      </c>
      <c r="E391" s="7" t="n">
        <f aca="false">RANDBETWEEN(1,3)</f>
        <v>1</v>
      </c>
      <c r="F391" s="7" t="str">
        <f aca="false">IF(E391=1, "Favorable", IF(E391=2, "Défavorable", "Ne se prononce pas"))</f>
        <v>Favorable</v>
      </c>
    </row>
    <row r="392" customFormat="false" ht="15" hidden="false" customHeight="false" outlineLevel="0" collapsed="false">
      <c r="A392" s="7" t="n">
        <f aca="false">A391+1</f>
        <v>391</v>
      </c>
      <c r="B392" s="7" t="n">
        <f aca="false">RANDBETWEEN(30,50)</f>
        <v>41</v>
      </c>
      <c r="C392" s="7" t="n">
        <f aca="false">RANDBETWEEN(0,1)</f>
        <v>1</v>
      </c>
      <c r="D392" s="7" t="str">
        <f aca="false">IF(C392=0, "Homme", "Femme")</f>
        <v>Femme</v>
      </c>
      <c r="E392" s="7" t="n">
        <f aca="false">RANDBETWEEN(1,3)</f>
        <v>2</v>
      </c>
      <c r="F392" s="7" t="str">
        <f aca="false">IF(E392=1, "Favorable", IF(E392=2, "Défavorable", "Ne se prononce pas"))</f>
        <v>Défavorable</v>
      </c>
    </row>
    <row r="393" customFormat="false" ht="15" hidden="false" customHeight="false" outlineLevel="0" collapsed="false">
      <c r="A393" s="7" t="n">
        <f aca="false">A392+1</f>
        <v>392</v>
      </c>
      <c r="B393" s="7" t="n">
        <f aca="false">RANDBETWEEN(30,50)</f>
        <v>45</v>
      </c>
      <c r="C393" s="7" t="n">
        <f aca="false">RANDBETWEEN(0,1)</f>
        <v>1</v>
      </c>
      <c r="D393" s="7" t="str">
        <f aca="false">IF(C393=0, "Homme", "Femme")</f>
        <v>Femme</v>
      </c>
      <c r="E393" s="7" t="n">
        <f aca="false">RANDBETWEEN(1,3)</f>
        <v>3</v>
      </c>
      <c r="F393" s="7" t="str">
        <f aca="false">IF(E393=1, "Favorable", IF(E393=2, "Défavorable", "Ne se prononce pas"))</f>
        <v>Ne se prononce pas</v>
      </c>
    </row>
    <row r="394" customFormat="false" ht="15" hidden="false" customHeight="false" outlineLevel="0" collapsed="false">
      <c r="A394" s="7" t="n">
        <f aca="false">A393+1</f>
        <v>393</v>
      </c>
      <c r="B394" s="7" t="n">
        <f aca="false">RANDBETWEEN(30,50)</f>
        <v>37</v>
      </c>
      <c r="C394" s="7" t="n">
        <f aca="false">RANDBETWEEN(0,1)</f>
        <v>1</v>
      </c>
      <c r="D394" s="7" t="str">
        <f aca="false">IF(C394=0, "Homme", "Femme")</f>
        <v>Femme</v>
      </c>
      <c r="E394" s="7" t="n">
        <f aca="false">RANDBETWEEN(1,3)</f>
        <v>2</v>
      </c>
      <c r="F394" s="7" t="str">
        <f aca="false">IF(E394=1, "Favorable", IF(E394=2, "Défavorable", "Ne se prononce pas"))</f>
        <v>Défavorable</v>
      </c>
    </row>
    <row r="395" customFormat="false" ht="15" hidden="false" customHeight="false" outlineLevel="0" collapsed="false">
      <c r="A395" s="7" t="n">
        <f aca="false">A394+1</f>
        <v>394</v>
      </c>
      <c r="B395" s="7" t="n">
        <f aca="false">RANDBETWEEN(30,50)</f>
        <v>30</v>
      </c>
      <c r="C395" s="7" t="n">
        <f aca="false">RANDBETWEEN(0,1)</f>
        <v>1</v>
      </c>
      <c r="D395" s="7" t="str">
        <f aca="false">IF(C395=0, "Homme", "Femme")</f>
        <v>Femme</v>
      </c>
      <c r="E395" s="7" t="n">
        <f aca="false">RANDBETWEEN(1,3)</f>
        <v>1</v>
      </c>
      <c r="F395" s="7" t="str">
        <f aca="false">IF(E395=1, "Favorable", IF(E395=2, "Défavorable", "Ne se prononce pas"))</f>
        <v>Favorable</v>
      </c>
    </row>
    <row r="396" customFormat="false" ht="15" hidden="false" customHeight="false" outlineLevel="0" collapsed="false">
      <c r="A396" s="7" t="n">
        <f aca="false">A395+1</f>
        <v>395</v>
      </c>
      <c r="B396" s="7" t="n">
        <f aca="false">RANDBETWEEN(30,50)</f>
        <v>48</v>
      </c>
      <c r="C396" s="7" t="n">
        <f aca="false">RANDBETWEEN(0,1)</f>
        <v>1</v>
      </c>
      <c r="D396" s="7" t="str">
        <f aca="false">IF(C396=0, "Homme", "Femme")</f>
        <v>Femme</v>
      </c>
      <c r="E396" s="7" t="n">
        <f aca="false">RANDBETWEEN(1,3)</f>
        <v>3</v>
      </c>
      <c r="F396" s="7" t="str">
        <f aca="false">IF(E396=1, "Favorable", IF(E396=2, "Défavorable", "Ne se prononce pas"))</f>
        <v>Ne se prononce pas</v>
      </c>
    </row>
    <row r="397" customFormat="false" ht="15" hidden="false" customHeight="false" outlineLevel="0" collapsed="false">
      <c r="A397" s="7" t="n">
        <f aca="false">A396+1</f>
        <v>396</v>
      </c>
      <c r="B397" s="7" t="n">
        <f aca="false">RANDBETWEEN(30,50)</f>
        <v>44</v>
      </c>
      <c r="C397" s="7" t="n">
        <f aca="false">RANDBETWEEN(0,1)</f>
        <v>0</v>
      </c>
      <c r="D397" s="7" t="str">
        <f aca="false">IF(C397=0, "Homme", "Femme")</f>
        <v>Homme</v>
      </c>
      <c r="E397" s="7" t="n">
        <f aca="false">RANDBETWEEN(1,3)</f>
        <v>2</v>
      </c>
      <c r="F397" s="7" t="str">
        <f aca="false">IF(E397=1, "Favorable", IF(E397=2, "Défavorable", "Ne se prononce pas"))</f>
        <v>Défavorable</v>
      </c>
    </row>
    <row r="398" customFormat="false" ht="15" hidden="false" customHeight="false" outlineLevel="0" collapsed="false">
      <c r="A398" s="7" t="n">
        <f aca="false">A397+1</f>
        <v>397</v>
      </c>
      <c r="B398" s="7" t="n">
        <f aca="false">RANDBETWEEN(30,50)</f>
        <v>50</v>
      </c>
      <c r="C398" s="7" t="n">
        <f aca="false">RANDBETWEEN(0,1)</f>
        <v>0</v>
      </c>
      <c r="D398" s="7" t="str">
        <f aca="false">IF(C398=0, "Homme", "Femme")</f>
        <v>Homme</v>
      </c>
      <c r="E398" s="7" t="n">
        <f aca="false">RANDBETWEEN(1,3)</f>
        <v>3</v>
      </c>
      <c r="F398" s="7" t="str">
        <f aca="false">IF(E398=1, "Favorable", IF(E398=2, "Défavorable", "Ne se prononce pas"))</f>
        <v>Ne se prononce pas</v>
      </c>
    </row>
    <row r="399" customFormat="false" ht="15" hidden="false" customHeight="false" outlineLevel="0" collapsed="false">
      <c r="A399" s="7" t="n">
        <f aca="false">A398+1</f>
        <v>398</v>
      </c>
      <c r="B399" s="7" t="n">
        <f aca="false">RANDBETWEEN(30,50)</f>
        <v>36</v>
      </c>
      <c r="C399" s="7" t="n">
        <f aca="false">RANDBETWEEN(0,1)</f>
        <v>1</v>
      </c>
      <c r="D399" s="7" t="str">
        <f aca="false">IF(C399=0, "Homme", "Femme")</f>
        <v>Femme</v>
      </c>
      <c r="E399" s="7" t="n">
        <f aca="false">RANDBETWEEN(1,3)</f>
        <v>1</v>
      </c>
      <c r="F399" s="7" t="str">
        <f aca="false">IF(E399=1, "Favorable", IF(E399=2, "Défavorable", "Ne se prononce pas"))</f>
        <v>Favorable</v>
      </c>
    </row>
    <row r="400" customFormat="false" ht="15" hidden="false" customHeight="false" outlineLevel="0" collapsed="false">
      <c r="A400" s="7" t="n">
        <f aca="false">A399+1</f>
        <v>399</v>
      </c>
      <c r="B400" s="7" t="n">
        <f aca="false">RANDBETWEEN(30,50)</f>
        <v>47</v>
      </c>
      <c r="C400" s="7" t="n">
        <f aca="false">RANDBETWEEN(0,1)</f>
        <v>0</v>
      </c>
      <c r="D400" s="7" t="str">
        <f aca="false">IF(C400=0, "Homme", "Femme")</f>
        <v>Homme</v>
      </c>
      <c r="E400" s="7" t="n">
        <f aca="false">RANDBETWEEN(1,3)</f>
        <v>1</v>
      </c>
      <c r="F400" s="7" t="str">
        <f aca="false">IF(E400=1, "Favorable", IF(E400=2, "Défavorable", "Ne se prononce pas"))</f>
        <v>Favorable</v>
      </c>
    </row>
    <row r="401" customFormat="false" ht="15" hidden="false" customHeight="false" outlineLevel="0" collapsed="false">
      <c r="A401" s="7" t="n">
        <f aca="false">A400+1</f>
        <v>400</v>
      </c>
      <c r="B401" s="7" t="n">
        <f aca="false">RANDBETWEEN(30,50)</f>
        <v>31</v>
      </c>
      <c r="C401" s="7" t="n">
        <f aca="false">RANDBETWEEN(0,1)</f>
        <v>1</v>
      </c>
      <c r="D401" s="7" t="str">
        <f aca="false">IF(C401=0, "Homme", "Femme")</f>
        <v>Femme</v>
      </c>
      <c r="E401" s="7" t="n">
        <f aca="false">RANDBETWEEN(1,3)</f>
        <v>2</v>
      </c>
      <c r="F401" s="7" t="str">
        <f aca="false">IF(E401=1, "Favorable", IF(E401=2, "Défavorable", "Ne se prononce pas"))</f>
        <v>Défavorable</v>
      </c>
    </row>
    <row r="402" customFormat="false" ht="15" hidden="false" customHeight="false" outlineLevel="0" collapsed="false">
      <c r="A402" s="7" t="n">
        <f aca="false">A401+1</f>
        <v>401</v>
      </c>
      <c r="B402" s="7" t="n">
        <f aca="false">RANDBETWEEN(30,50)</f>
        <v>41</v>
      </c>
      <c r="C402" s="7" t="n">
        <f aca="false">RANDBETWEEN(0,1)</f>
        <v>1</v>
      </c>
      <c r="D402" s="7" t="str">
        <f aca="false">IF(C402=0, "Homme", "Femme")</f>
        <v>Femme</v>
      </c>
      <c r="E402" s="7" t="n">
        <f aca="false">RANDBETWEEN(1,3)</f>
        <v>3</v>
      </c>
      <c r="F402" s="7" t="str">
        <f aca="false">IF(E402=1, "Favorable", IF(E402=2, "Défavorable", "Ne se prononce pas"))</f>
        <v>Ne se prononce pas</v>
      </c>
    </row>
    <row r="403" customFormat="false" ht="15" hidden="false" customHeight="false" outlineLevel="0" collapsed="false">
      <c r="A403" s="7" t="n">
        <f aca="false">A402+1</f>
        <v>402</v>
      </c>
      <c r="B403" s="7" t="n">
        <f aca="false">RANDBETWEEN(30,50)</f>
        <v>41</v>
      </c>
      <c r="C403" s="7" t="n">
        <f aca="false">RANDBETWEEN(0,1)</f>
        <v>1</v>
      </c>
      <c r="D403" s="7" t="str">
        <f aca="false">IF(C403=0, "Homme", "Femme")</f>
        <v>Femme</v>
      </c>
      <c r="E403" s="7" t="n">
        <f aca="false">RANDBETWEEN(1,3)</f>
        <v>2</v>
      </c>
      <c r="F403" s="7" t="str">
        <f aca="false">IF(E403=1, "Favorable", IF(E403=2, "Défavorable", "Ne se prononce pas"))</f>
        <v>Défavorable</v>
      </c>
    </row>
    <row r="404" customFormat="false" ht="15" hidden="false" customHeight="false" outlineLevel="0" collapsed="false">
      <c r="A404" s="7" t="n">
        <f aca="false">A403+1</f>
        <v>403</v>
      </c>
      <c r="B404" s="7" t="n">
        <f aca="false">RANDBETWEEN(30,50)</f>
        <v>37</v>
      </c>
      <c r="C404" s="7" t="n">
        <f aca="false">RANDBETWEEN(0,1)</f>
        <v>1</v>
      </c>
      <c r="D404" s="7" t="str">
        <f aca="false">IF(C404=0, "Homme", "Femme")</f>
        <v>Femme</v>
      </c>
      <c r="E404" s="7" t="n">
        <f aca="false">RANDBETWEEN(1,3)</f>
        <v>2</v>
      </c>
      <c r="F404" s="7" t="str">
        <f aca="false">IF(E404=1, "Favorable", IF(E404=2, "Défavorable", "Ne se prononce pas"))</f>
        <v>Défavorable</v>
      </c>
    </row>
    <row r="405" customFormat="false" ht="15" hidden="false" customHeight="false" outlineLevel="0" collapsed="false">
      <c r="A405" s="7" t="n">
        <f aca="false">A404+1</f>
        <v>404</v>
      </c>
      <c r="B405" s="7" t="n">
        <f aca="false">RANDBETWEEN(30,50)</f>
        <v>41</v>
      </c>
      <c r="C405" s="7" t="n">
        <f aca="false">RANDBETWEEN(0,1)</f>
        <v>1</v>
      </c>
      <c r="D405" s="7" t="str">
        <f aca="false">IF(C405=0, "Homme", "Femme")</f>
        <v>Femme</v>
      </c>
      <c r="E405" s="7" t="n">
        <f aca="false">RANDBETWEEN(1,3)</f>
        <v>3</v>
      </c>
      <c r="F405" s="7" t="str">
        <f aca="false">IF(E405=1, "Favorable", IF(E405=2, "Défavorable", "Ne se prononce pas"))</f>
        <v>Ne se prononce pas</v>
      </c>
    </row>
    <row r="406" customFormat="false" ht="15" hidden="false" customHeight="false" outlineLevel="0" collapsed="false">
      <c r="A406" s="7" t="n">
        <f aca="false">A405+1</f>
        <v>405</v>
      </c>
      <c r="B406" s="7" t="n">
        <f aca="false">RANDBETWEEN(30,50)</f>
        <v>41</v>
      </c>
      <c r="C406" s="7" t="n">
        <f aca="false">RANDBETWEEN(0,1)</f>
        <v>1</v>
      </c>
      <c r="D406" s="7" t="str">
        <f aca="false">IF(C406=0, "Homme", "Femme")</f>
        <v>Femme</v>
      </c>
      <c r="E406" s="7" t="n">
        <f aca="false">RANDBETWEEN(1,3)</f>
        <v>3</v>
      </c>
      <c r="F406" s="7" t="str">
        <f aca="false">IF(E406=1, "Favorable", IF(E406=2, "Défavorable", "Ne se prononce pas"))</f>
        <v>Ne se prononce pas</v>
      </c>
    </row>
    <row r="407" customFormat="false" ht="15" hidden="false" customHeight="false" outlineLevel="0" collapsed="false">
      <c r="A407" s="7" t="n">
        <f aca="false">A406+1</f>
        <v>406</v>
      </c>
      <c r="B407" s="7" t="n">
        <f aca="false">RANDBETWEEN(30,50)</f>
        <v>44</v>
      </c>
      <c r="C407" s="7" t="n">
        <f aca="false">RANDBETWEEN(0,1)</f>
        <v>0</v>
      </c>
      <c r="D407" s="7" t="str">
        <f aca="false">IF(C407=0, "Homme", "Femme")</f>
        <v>Homme</v>
      </c>
      <c r="E407" s="7" t="n">
        <f aca="false">RANDBETWEEN(1,3)</f>
        <v>3</v>
      </c>
      <c r="F407" s="7" t="str">
        <f aca="false">IF(E407=1, "Favorable", IF(E407=2, "Défavorable", "Ne se prononce pas"))</f>
        <v>Ne se prononce pas</v>
      </c>
    </row>
    <row r="408" customFormat="false" ht="15" hidden="false" customHeight="false" outlineLevel="0" collapsed="false">
      <c r="A408" s="7" t="n">
        <f aca="false">A407+1</f>
        <v>407</v>
      </c>
      <c r="B408" s="7" t="n">
        <f aca="false">RANDBETWEEN(30,50)</f>
        <v>50</v>
      </c>
      <c r="C408" s="7" t="n">
        <f aca="false">RANDBETWEEN(0,1)</f>
        <v>1</v>
      </c>
      <c r="D408" s="7" t="str">
        <f aca="false">IF(C408=0, "Homme", "Femme")</f>
        <v>Femme</v>
      </c>
      <c r="E408" s="7" t="n">
        <f aca="false">RANDBETWEEN(1,3)</f>
        <v>2</v>
      </c>
      <c r="F408" s="7" t="str">
        <f aca="false">IF(E408=1, "Favorable", IF(E408=2, "Défavorable", "Ne se prononce pas"))</f>
        <v>Défavorable</v>
      </c>
    </row>
    <row r="409" customFormat="false" ht="15" hidden="false" customHeight="false" outlineLevel="0" collapsed="false">
      <c r="A409" s="7" t="n">
        <f aca="false">A408+1</f>
        <v>408</v>
      </c>
      <c r="B409" s="7" t="n">
        <f aca="false">RANDBETWEEN(30,50)</f>
        <v>35</v>
      </c>
      <c r="C409" s="7" t="n">
        <f aca="false">RANDBETWEEN(0,1)</f>
        <v>1</v>
      </c>
      <c r="D409" s="7" t="str">
        <f aca="false">IF(C409=0, "Homme", "Femme")</f>
        <v>Femme</v>
      </c>
      <c r="E409" s="7" t="n">
        <f aca="false">RANDBETWEEN(1,3)</f>
        <v>2</v>
      </c>
      <c r="F409" s="7" t="str">
        <f aca="false">IF(E409=1, "Favorable", IF(E409=2, "Défavorable", "Ne se prononce pas"))</f>
        <v>Défavorable</v>
      </c>
    </row>
    <row r="410" customFormat="false" ht="15" hidden="false" customHeight="false" outlineLevel="0" collapsed="false">
      <c r="A410" s="7" t="n">
        <f aca="false">A409+1</f>
        <v>409</v>
      </c>
      <c r="B410" s="7" t="n">
        <f aca="false">RANDBETWEEN(30,50)</f>
        <v>40</v>
      </c>
      <c r="C410" s="7" t="n">
        <f aca="false">RANDBETWEEN(0,1)</f>
        <v>1</v>
      </c>
      <c r="D410" s="7" t="str">
        <f aca="false">IF(C410=0, "Homme", "Femme")</f>
        <v>Femme</v>
      </c>
      <c r="E410" s="7" t="n">
        <f aca="false">RANDBETWEEN(1,3)</f>
        <v>2</v>
      </c>
      <c r="F410" s="7" t="str">
        <f aca="false">IF(E410=1, "Favorable", IF(E410=2, "Défavorable", "Ne se prononce pas"))</f>
        <v>Défavorable</v>
      </c>
    </row>
    <row r="411" customFormat="false" ht="15" hidden="false" customHeight="false" outlineLevel="0" collapsed="false">
      <c r="A411" s="7" t="n">
        <f aca="false">A410+1</f>
        <v>410</v>
      </c>
      <c r="B411" s="7" t="n">
        <f aca="false">RANDBETWEEN(30,50)</f>
        <v>48</v>
      </c>
      <c r="C411" s="7" t="n">
        <f aca="false">RANDBETWEEN(0,1)</f>
        <v>0</v>
      </c>
      <c r="D411" s="7" t="str">
        <f aca="false">IF(C411=0, "Homme", "Femme")</f>
        <v>Homme</v>
      </c>
      <c r="E411" s="7" t="n">
        <f aca="false">RANDBETWEEN(1,3)</f>
        <v>2</v>
      </c>
      <c r="F411" s="7" t="str">
        <f aca="false">IF(E411=1, "Favorable", IF(E411=2, "Défavorable", "Ne se prononce pas"))</f>
        <v>Défavorable</v>
      </c>
    </row>
    <row r="412" customFormat="false" ht="15" hidden="false" customHeight="false" outlineLevel="0" collapsed="false">
      <c r="A412" s="7" t="n">
        <f aca="false">A411+1</f>
        <v>411</v>
      </c>
      <c r="B412" s="7" t="n">
        <f aca="false">RANDBETWEEN(30,50)</f>
        <v>30</v>
      </c>
      <c r="C412" s="7" t="n">
        <f aca="false">RANDBETWEEN(0,1)</f>
        <v>0</v>
      </c>
      <c r="D412" s="7" t="str">
        <f aca="false">IF(C412=0, "Homme", "Femme")</f>
        <v>Homme</v>
      </c>
      <c r="E412" s="7" t="n">
        <f aca="false">RANDBETWEEN(1,3)</f>
        <v>1</v>
      </c>
      <c r="F412" s="7" t="str">
        <f aca="false">IF(E412=1, "Favorable", IF(E412=2, "Défavorable", "Ne se prononce pas"))</f>
        <v>Favorable</v>
      </c>
    </row>
    <row r="413" customFormat="false" ht="15" hidden="false" customHeight="false" outlineLevel="0" collapsed="false">
      <c r="A413" s="7" t="n">
        <f aca="false">A412+1</f>
        <v>412</v>
      </c>
      <c r="B413" s="7" t="n">
        <f aca="false">RANDBETWEEN(30,50)</f>
        <v>46</v>
      </c>
      <c r="C413" s="7" t="n">
        <f aca="false">RANDBETWEEN(0,1)</f>
        <v>1</v>
      </c>
      <c r="D413" s="7" t="str">
        <f aca="false">IF(C413=0, "Homme", "Femme")</f>
        <v>Femme</v>
      </c>
      <c r="E413" s="7" t="n">
        <f aca="false">RANDBETWEEN(1,3)</f>
        <v>3</v>
      </c>
      <c r="F413" s="7" t="str">
        <f aca="false">IF(E413=1, "Favorable", IF(E413=2, "Défavorable", "Ne se prononce pas"))</f>
        <v>Ne se prononce pas</v>
      </c>
    </row>
    <row r="414" customFormat="false" ht="15" hidden="false" customHeight="false" outlineLevel="0" collapsed="false">
      <c r="A414" s="7" t="n">
        <f aca="false">A413+1</f>
        <v>413</v>
      </c>
      <c r="B414" s="7" t="n">
        <f aca="false">RANDBETWEEN(30,50)</f>
        <v>43</v>
      </c>
      <c r="C414" s="7" t="n">
        <f aca="false">RANDBETWEEN(0,1)</f>
        <v>1</v>
      </c>
      <c r="D414" s="7" t="str">
        <f aca="false">IF(C414=0, "Homme", "Femme")</f>
        <v>Femme</v>
      </c>
      <c r="E414" s="7" t="n">
        <f aca="false">RANDBETWEEN(1,3)</f>
        <v>3</v>
      </c>
      <c r="F414" s="7" t="str">
        <f aca="false">IF(E414=1, "Favorable", IF(E414=2, "Défavorable", "Ne se prononce pas"))</f>
        <v>Ne se prononce pas</v>
      </c>
    </row>
    <row r="415" customFormat="false" ht="15" hidden="false" customHeight="false" outlineLevel="0" collapsed="false">
      <c r="A415" s="7" t="n">
        <f aca="false">A414+1</f>
        <v>414</v>
      </c>
      <c r="B415" s="7" t="n">
        <f aca="false">RANDBETWEEN(30,50)</f>
        <v>31</v>
      </c>
      <c r="C415" s="7" t="n">
        <f aca="false">RANDBETWEEN(0,1)</f>
        <v>1</v>
      </c>
      <c r="D415" s="7" t="str">
        <f aca="false">IF(C415=0, "Homme", "Femme")</f>
        <v>Femme</v>
      </c>
      <c r="E415" s="7" t="n">
        <f aca="false">RANDBETWEEN(1,3)</f>
        <v>2</v>
      </c>
      <c r="F415" s="7" t="str">
        <f aca="false">IF(E415=1, "Favorable", IF(E415=2, "Défavorable", "Ne se prononce pas"))</f>
        <v>Défavorable</v>
      </c>
    </row>
    <row r="416" customFormat="false" ht="15" hidden="false" customHeight="false" outlineLevel="0" collapsed="false">
      <c r="A416" s="7" t="n">
        <f aca="false">A415+1</f>
        <v>415</v>
      </c>
      <c r="B416" s="7" t="n">
        <f aca="false">RANDBETWEEN(30,50)</f>
        <v>37</v>
      </c>
      <c r="C416" s="7" t="n">
        <f aca="false">RANDBETWEEN(0,1)</f>
        <v>1</v>
      </c>
      <c r="D416" s="7" t="str">
        <f aca="false">IF(C416=0, "Homme", "Femme")</f>
        <v>Femme</v>
      </c>
      <c r="E416" s="7" t="n">
        <f aca="false">RANDBETWEEN(1,3)</f>
        <v>2</v>
      </c>
      <c r="F416" s="7" t="str">
        <f aca="false">IF(E416=1, "Favorable", IF(E416=2, "Défavorable", "Ne se prononce pas"))</f>
        <v>Défavorable</v>
      </c>
    </row>
    <row r="417" customFormat="false" ht="15" hidden="false" customHeight="false" outlineLevel="0" collapsed="false">
      <c r="A417" s="7" t="n">
        <f aca="false">A416+1</f>
        <v>416</v>
      </c>
      <c r="B417" s="7" t="n">
        <f aca="false">RANDBETWEEN(30,50)</f>
        <v>45</v>
      </c>
      <c r="C417" s="7" t="n">
        <f aca="false">RANDBETWEEN(0,1)</f>
        <v>0</v>
      </c>
      <c r="D417" s="7" t="str">
        <f aca="false">IF(C417=0, "Homme", "Femme")</f>
        <v>Homme</v>
      </c>
      <c r="E417" s="7" t="n">
        <f aca="false">RANDBETWEEN(1,3)</f>
        <v>3</v>
      </c>
      <c r="F417" s="7" t="str">
        <f aca="false">IF(E417=1, "Favorable", IF(E417=2, "Défavorable", "Ne se prononce pas"))</f>
        <v>Ne se prononce pas</v>
      </c>
    </row>
    <row r="418" customFormat="false" ht="15" hidden="false" customHeight="false" outlineLevel="0" collapsed="false">
      <c r="A418" s="7" t="n">
        <f aca="false">A417+1</f>
        <v>417</v>
      </c>
      <c r="B418" s="7" t="n">
        <f aca="false">RANDBETWEEN(30,50)</f>
        <v>50</v>
      </c>
      <c r="C418" s="7" t="n">
        <f aca="false">RANDBETWEEN(0,1)</f>
        <v>0</v>
      </c>
      <c r="D418" s="7" t="str">
        <f aca="false">IF(C418=0, "Homme", "Femme")</f>
        <v>Homme</v>
      </c>
      <c r="E418" s="7" t="n">
        <f aca="false">RANDBETWEEN(1,3)</f>
        <v>2</v>
      </c>
      <c r="F418" s="7" t="str">
        <f aca="false">IF(E418=1, "Favorable", IF(E418=2, "Défavorable", "Ne se prononce pas"))</f>
        <v>Défavorable</v>
      </c>
    </row>
    <row r="419" customFormat="false" ht="15" hidden="false" customHeight="false" outlineLevel="0" collapsed="false">
      <c r="A419" s="7" t="n">
        <f aca="false">A418+1</f>
        <v>418</v>
      </c>
      <c r="B419" s="7" t="n">
        <f aca="false">RANDBETWEEN(30,50)</f>
        <v>48</v>
      </c>
      <c r="C419" s="7" t="n">
        <f aca="false">RANDBETWEEN(0,1)</f>
        <v>1</v>
      </c>
      <c r="D419" s="7" t="str">
        <f aca="false">IF(C419=0, "Homme", "Femme")</f>
        <v>Femme</v>
      </c>
      <c r="E419" s="7" t="n">
        <f aca="false">RANDBETWEEN(1,3)</f>
        <v>3</v>
      </c>
      <c r="F419" s="7" t="str">
        <f aca="false">IF(E419=1, "Favorable", IF(E419=2, "Défavorable", "Ne se prononce pas"))</f>
        <v>Ne se prononce pas</v>
      </c>
    </row>
    <row r="420" customFormat="false" ht="15" hidden="false" customHeight="false" outlineLevel="0" collapsed="false">
      <c r="A420" s="7" t="n">
        <f aca="false">A419+1</f>
        <v>419</v>
      </c>
      <c r="B420" s="7" t="n">
        <f aca="false">RANDBETWEEN(30,50)</f>
        <v>43</v>
      </c>
      <c r="C420" s="7" t="n">
        <f aca="false">RANDBETWEEN(0,1)</f>
        <v>0</v>
      </c>
      <c r="D420" s="7" t="str">
        <f aca="false">IF(C420=0, "Homme", "Femme")</f>
        <v>Homme</v>
      </c>
      <c r="E420" s="7" t="n">
        <f aca="false">RANDBETWEEN(1,3)</f>
        <v>2</v>
      </c>
      <c r="F420" s="7" t="str">
        <f aca="false">IF(E420=1, "Favorable", IF(E420=2, "Défavorable", "Ne se prononce pas"))</f>
        <v>Défavorable</v>
      </c>
    </row>
    <row r="421" customFormat="false" ht="15" hidden="false" customHeight="false" outlineLevel="0" collapsed="false">
      <c r="A421" s="7" t="n">
        <f aca="false">A420+1</f>
        <v>420</v>
      </c>
      <c r="B421" s="7" t="n">
        <f aca="false">RANDBETWEEN(30,50)</f>
        <v>42</v>
      </c>
      <c r="C421" s="7" t="n">
        <f aca="false">RANDBETWEEN(0,1)</f>
        <v>0</v>
      </c>
      <c r="D421" s="7" t="str">
        <f aca="false">IF(C421=0, "Homme", "Femme")</f>
        <v>Homme</v>
      </c>
      <c r="E421" s="7" t="n">
        <f aca="false">RANDBETWEEN(1,3)</f>
        <v>2</v>
      </c>
      <c r="F421" s="7" t="str">
        <f aca="false">IF(E421=1, "Favorable", IF(E421=2, "Défavorable", "Ne se prononce pas"))</f>
        <v>Défavorable</v>
      </c>
    </row>
    <row r="422" customFormat="false" ht="15" hidden="false" customHeight="false" outlineLevel="0" collapsed="false">
      <c r="A422" s="7" t="n">
        <f aca="false">A421+1</f>
        <v>421</v>
      </c>
      <c r="B422" s="7" t="n">
        <f aca="false">RANDBETWEEN(30,50)</f>
        <v>38</v>
      </c>
      <c r="C422" s="7" t="n">
        <f aca="false">RANDBETWEEN(0,1)</f>
        <v>1</v>
      </c>
      <c r="D422" s="7" t="str">
        <f aca="false">IF(C422=0, "Homme", "Femme")</f>
        <v>Femme</v>
      </c>
      <c r="E422" s="7" t="n">
        <f aca="false">RANDBETWEEN(1,3)</f>
        <v>3</v>
      </c>
      <c r="F422" s="7" t="str">
        <f aca="false">IF(E422=1, "Favorable", IF(E422=2, "Défavorable", "Ne se prononce pas"))</f>
        <v>Ne se prononce pas</v>
      </c>
    </row>
    <row r="423" customFormat="false" ht="15" hidden="false" customHeight="false" outlineLevel="0" collapsed="false">
      <c r="A423" s="7" t="n">
        <f aca="false">A422+1</f>
        <v>422</v>
      </c>
      <c r="B423" s="7" t="n">
        <f aca="false">RANDBETWEEN(30,50)</f>
        <v>40</v>
      </c>
      <c r="C423" s="7" t="n">
        <f aca="false">RANDBETWEEN(0,1)</f>
        <v>1</v>
      </c>
      <c r="D423" s="7" t="str">
        <f aca="false">IF(C423=0, "Homme", "Femme")</f>
        <v>Femme</v>
      </c>
      <c r="E423" s="7" t="n">
        <f aca="false">RANDBETWEEN(1,3)</f>
        <v>1</v>
      </c>
      <c r="F423" s="7" t="str">
        <f aca="false">IF(E423=1, "Favorable", IF(E423=2, "Défavorable", "Ne se prononce pas"))</f>
        <v>Favorable</v>
      </c>
    </row>
    <row r="424" customFormat="false" ht="15" hidden="false" customHeight="false" outlineLevel="0" collapsed="false">
      <c r="A424" s="7" t="n">
        <f aca="false">A423+1</f>
        <v>423</v>
      </c>
      <c r="B424" s="7" t="n">
        <f aca="false">RANDBETWEEN(30,50)</f>
        <v>41</v>
      </c>
      <c r="C424" s="7" t="n">
        <f aca="false">RANDBETWEEN(0,1)</f>
        <v>1</v>
      </c>
      <c r="D424" s="7" t="str">
        <f aca="false">IF(C424=0, "Homme", "Femme")</f>
        <v>Femme</v>
      </c>
      <c r="E424" s="7" t="n">
        <f aca="false">RANDBETWEEN(1,3)</f>
        <v>1</v>
      </c>
      <c r="F424" s="7" t="str">
        <f aca="false">IF(E424=1, "Favorable", IF(E424=2, "Défavorable", "Ne se prononce pas"))</f>
        <v>Favorable</v>
      </c>
    </row>
    <row r="425" customFormat="false" ht="15" hidden="false" customHeight="false" outlineLevel="0" collapsed="false">
      <c r="A425" s="7" t="n">
        <f aca="false">A424+1</f>
        <v>424</v>
      </c>
      <c r="B425" s="7" t="n">
        <f aca="false">RANDBETWEEN(30,50)</f>
        <v>50</v>
      </c>
      <c r="C425" s="7" t="n">
        <f aca="false">RANDBETWEEN(0,1)</f>
        <v>0</v>
      </c>
      <c r="D425" s="7" t="str">
        <f aca="false">IF(C425=0, "Homme", "Femme")</f>
        <v>Homme</v>
      </c>
      <c r="E425" s="7" t="n">
        <f aca="false">RANDBETWEEN(1,3)</f>
        <v>3</v>
      </c>
      <c r="F425" s="7" t="str">
        <f aca="false">IF(E425=1, "Favorable", IF(E425=2, "Défavorable", "Ne se prononce pas"))</f>
        <v>Ne se prononce pas</v>
      </c>
    </row>
    <row r="426" customFormat="false" ht="15" hidden="false" customHeight="false" outlineLevel="0" collapsed="false">
      <c r="A426" s="7" t="n">
        <f aca="false">A425+1</f>
        <v>425</v>
      </c>
      <c r="B426" s="7" t="n">
        <f aca="false">RANDBETWEEN(30,50)</f>
        <v>41</v>
      </c>
      <c r="C426" s="7" t="n">
        <f aca="false">RANDBETWEEN(0,1)</f>
        <v>1</v>
      </c>
      <c r="D426" s="7" t="str">
        <f aca="false">IF(C426=0, "Homme", "Femme")</f>
        <v>Femme</v>
      </c>
      <c r="E426" s="7" t="n">
        <f aca="false">RANDBETWEEN(1,3)</f>
        <v>2</v>
      </c>
      <c r="F426" s="7" t="str">
        <f aca="false">IF(E426=1, "Favorable", IF(E426=2, "Défavorable", "Ne se prononce pas"))</f>
        <v>Défavorable</v>
      </c>
    </row>
    <row r="427" customFormat="false" ht="15" hidden="false" customHeight="false" outlineLevel="0" collapsed="false">
      <c r="A427" s="7" t="n">
        <f aca="false">A426+1</f>
        <v>426</v>
      </c>
      <c r="B427" s="7" t="n">
        <f aca="false">RANDBETWEEN(30,50)</f>
        <v>34</v>
      </c>
      <c r="C427" s="7" t="n">
        <f aca="false">RANDBETWEEN(0,1)</f>
        <v>0</v>
      </c>
      <c r="D427" s="7" t="str">
        <f aca="false">IF(C427=0, "Homme", "Femme")</f>
        <v>Homme</v>
      </c>
      <c r="E427" s="7" t="n">
        <f aca="false">RANDBETWEEN(1,3)</f>
        <v>1</v>
      </c>
      <c r="F427" s="7" t="str">
        <f aca="false">IF(E427=1, "Favorable", IF(E427=2, "Défavorable", "Ne se prononce pas"))</f>
        <v>Favorable</v>
      </c>
    </row>
    <row r="428" customFormat="false" ht="15" hidden="false" customHeight="false" outlineLevel="0" collapsed="false">
      <c r="A428" s="7" t="n">
        <f aca="false">A427+1</f>
        <v>427</v>
      </c>
      <c r="B428" s="7" t="n">
        <f aca="false">RANDBETWEEN(30,50)</f>
        <v>40</v>
      </c>
      <c r="C428" s="7" t="n">
        <f aca="false">RANDBETWEEN(0,1)</f>
        <v>1</v>
      </c>
      <c r="D428" s="7" t="str">
        <f aca="false">IF(C428=0, "Homme", "Femme")</f>
        <v>Femme</v>
      </c>
      <c r="E428" s="7" t="n">
        <f aca="false">RANDBETWEEN(1,3)</f>
        <v>3</v>
      </c>
      <c r="F428" s="7" t="str">
        <f aca="false">IF(E428=1, "Favorable", IF(E428=2, "Défavorable", "Ne se prononce pas"))</f>
        <v>Ne se prononce pas</v>
      </c>
    </row>
    <row r="429" customFormat="false" ht="15" hidden="false" customHeight="false" outlineLevel="0" collapsed="false">
      <c r="A429" s="7" t="n">
        <f aca="false">A428+1</f>
        <v>428</v>
      </c>
      <c r="B429" s="7" t="n">
        <f aca="false">RANDBETWEEN(30,50)</f>
        <v>50</v>
      </c>
      <c r="C429" s="7" t="n">
        <f aca="false">RANDBETWEEN(0,1)</f>
        <v>0</v>
      </c>
      <c r="D429" s="7" t="str">
        <f aca="false">IF(C429=0, "Homme", "Femme")</f>
        <v>Homme</v>
      </c>
      <c r="E429" s="7" t="n">
        <f aca="false">RANDBETWEEN(1,3)</f>
        <v>3</v>
      </c>
      <c r="F429" s="7" t="str">
        <f aca="false">IF(E429=1, "Favorable", IF(E429=2, "Défavorable", "Ne se prononce pas"))</f>
        <v>Ne se prononce pas</v>
      </c>
    </row>
    <row r="430" customFormat="false" ht="15" hidden="false" customHeight="false" outlineLevel="0" collapsed="false">
      <c r="A430" s="7" t="n">
        <f aca="false">A429+1</f>
        <v>429</v>
      </c>
      <c r="B430" s="7" t="n">
        <f aca="false">RANDBETWEEN(30,50)</f>
        <v>43</v>
      </c>
      <c r="C430" s="7" t="n">
        <f aca="false">RANDBETWEEN(0,1)</f>
        <v>0</v>
      </c>
      <c r="D430" s="7" t="str">
        <f aca="false">IF(C430=0, "Homme", "Femme")</f>
        <v>Homme</v>
      </c>
      <c r="E430" s="7" t="n">
        <f aca="false">RANDBETWEEN(1,3)</f>
        <v>1</v>
      </c>
      <c r="F430" s="7" t="str">
        <f aca="false">IF(E430=1, "Favorable", IF(E430=2, "Défavorable", "Ne se prononce pas"))</f>
        <v>Favorable</v>
      </c>
    </row>
    <row r="431" customFormat="false" ht="15" hidden="false" customHeight="false" outlineLevel="0" collapsed="false">
      <c r="A431" s="7" t="n">
        <f aca="false">A430+1</f>
        <v>430</v>
      </c>
      <c r="B431" s="7" t="n">
        <f aca="false">RANDBETWEEN(30,50)</f>
        <v>47</v>
      </c>
      <c r="C431" s="7" t="n">
        <f aca="false">RANDBETWEEN(0,1)</f>
        <v>0</v>
      </c>
      <c r="D431" s="7" t="str">
        <f aca="false">IF(C431=0, "Homme", "Femme")</f>
        <v>Homme</v>
      </c>
      <c r="E431" s="7" t="n">
        <f aca="false">RANDBETWEEN(1,3)</f>
        <v>1</v>
      </c>
      <c r="F431" s="7" t="str">
        <f aca="false">IF(E431=1, "Favorable", IF(E431=2, "Défavorable", "Ne se prononce pas"))</f>
        <v>Favorable</v>
      </c>
    </row>
    <row r="432" customFormat="false" ht="15" hidden="false" customHeight="false" outlineLevel="0" collapsed="false">
      <c r="A432" s="7" t="n">
        <f aca="false">A431+1</f>
        <v>431</v>
      </c>
      <c r="B432" s="7" t="n">
        <f aca="false">RANDBETWEEN(30,50)</f>
        <v>47</v>
      </c>
      <c r="C432" s="7" t="n">
        <f aca="false">RANDBETWEEN(0,1)</f>
        <v>1</v>
      </c>
      <c r="D432" s="7" t="str">
        <f aca="false">IF(C432=0, "Homme", "Femme")</f>
        <v>Femme</v>
      </c>
      <c r="E432" s="7" t="n">
        <f aca="false">RANDBETWEEN(1,3)</f>
        <v>3</v>
      </c>
      <c r="F432" s="7" t="str">
        <f aca="false">IF(E432=1, "Favorable", IF(E432=2, "Défavorable", "Ne se prononce pas"))</f>
        <v>Ne se prononce pas</v>
      </c>
    </row>
    <row r="433" customFormat="false" ht="15" hidden="false" customHeight="false" outlineLevel="0" collapsed="false">
      <c r="A433" s="7" t="n">
        <f aca="false">A432+1</f>
        <v>432</v>
      </c>
      <c r="B433" s="7" t="n">
        <f aca="false">RANDBETWEEN(30,50)</f>
        <v>40</v>
      </c>
      <c r="C433" s="7" t="n">
        <f aca="false">RANDBETWEEN(0,1)</f>
        <v>0</v>
      </c>
      <c r="D433" s="7" t="str">
        <f aca="false">IF(C433=0, "Homme", "Femme")</f>
        <v>Homme</v>
      </c>
      <c r="E433" s="7" t="n">
        <f aca="false">RANDBETWEEN(1,3)</f>
        <v>3</v>
      </c>
      <c r="F433" s="7" t="str">
        <f aca="false">IF(E433=1, "Favorable", IF(E433=2, "Défavorable", "Ne se prononce pas"))</f>
        <v>Ne se prononce pas</v>
      </c>
    </row>
    <row r="434" customFormat="false" ht="15" hidden="false" customHeight="false" outlineLevel="0" collapsed="false">
      <c r="A434" s="7" t="n">
        <f aca="false">A433+1</f>
        <v>433</v>
      </c>
      <c r="B434" s="7" t="n">
        <f aca="false">RANDBETWEEN(30,50)</f>
        <v>46</v>
      </c>
      <c r="C434" s="7" t="n">
        <f aca="false">RANDBETWEEN(0,1)</f>
        <v>0</v>
      </c>
      <c r="D434" s="7" t="str">
        <f aca="false">IF(C434=0, "Homme", "Femme")</f>
        <v>Homme</v>
      </c>
      <c r="E434" s="7" t="n">
        <f aca="false">RANDBETWEEN(1,3)</f>
        <v>3</v>
      </c>
      <c r="F434" s="7" t="str">
        <f aca="false">IF(E434=1, "Favorable", IF(E434=2, "Défavorable", "Ne se prononce pas"))</f>
        <v>Ne se prononce pas</v>
      </c>
    </row>
    <row r="435" customFormat="false" ht="15" hidden="false" customHeight="false" outlineLevel="0" collapsed="false">
      <c r="A435" s="7" t="n">
        <f aca="false">A434+1</f>
        <v>434</v>
      </c>
      <c r="B435" s="7" t="n">
        <f aca="false">RANDBETWEEN(30,50)</f>
        <v>39</v>
      </c>
      <c r="C435" s="7" t="n">
        <f aca="false">RANDBETWEEN(0,1)</f>
        <v>1</v>
      </c>
      <c r="D435" s="7" t="str">
        <f aca="false">IF(C435=0, "Homme", "Femme")</f>
        <v>Femme</v>
      </c>
      <c r="E435" s="7" t="n">
        <f aca="false">RANDBETWEEN(1,3)</f>
        <v>1</v>
      </c>
      <c r="F435" s="7" t="str">
        <f aca="false">IF(E435=1, "Favorable", IF(E435=2, "Défavorable", "Ne se prononce pas"))</f>
        <v>Favorable</v>
      </c>
    </row>
    <row r="436" customFormat="false" ht="15" hidden="false" customHeight="false" outlineLevel="0" collapsed="false">
      <c r="A436" s="7" t="n">
        <f aca="false">A435+1</f>
        <v>435</v>
      </c>
      <c r="B436" s="7" t="n">
        <f aca="false">RANDBETWEEN(30,50)</f>
        <v>50</v>
      </c>
      <c r="C436" s="7" t="n">
        <f aca="false">RANDBETWEEN(0,1)</f>
        <v>1</v>
      </c>
      <c r="D436" s="7" t="str">
        <f aca="false">IF(C436=0, "Homme", "Femme")</f>
        <v>Femme</v>
      </c>
      <c r="E436" s="7" t="n">
        <f aca="false">RANDBETWEEN(1,3)</f>
        <v>1</v>
      </c>
      <c r="F436" s="7" t="str">
        <f aca="false">IF(E436=1, "Favorable", IF(E436=2, "Défavorable", "Ne se prononce pas"))</f>
        <v>Favorable</v>
      </c>
    </row>
    <row r="437" customFormat="false" ht="15" hidden="false" customHeight="false" outlineLevel="0" collapsed="false">
      <c r="A437" s="7" t="n">
        <f aca="false">A436+1</f>
        <v>436</v>
      </c>
      <c r="B437" s="7" t="n">
        <f aca="false">RANDBETWEEN(30,50)</f>
        <v>38</v>
      </c>
      <c r="C437" s="7" t="n">
        <f aca="false">RANDBETWEEN(0,1)</f>
        <v>1</v>
      </c>
      <c r="D437" s="7" t="str">
        <f aca="false">IF(C437=0, "Homme", "Femme")</f>
        <v>Femme</v>
      </c>
      <c r="E437" s="7" t="n">
        <f aca="false">RANDBETWEEN(1,3)</f>
        <v>1</v>
      </c>
      <c r="F437" s="7" t="str">
        <f aca="false">IF(E437=1, "Favorable", IF(E437=2, "Défavorable", "Ne se prononce pas"))</f>
        <v>Favorable</v>
      </c>
    </row>
    <row r="438" customFormat="false" ht="15" hidden="false" customHeight="false" outlineLevel="0" collapsed="false">
      <c r="A438" s="7" t="n">
        <f aca="false">A437+1</f>
        <v>437</v>
      </c>
      <c r="B438" s="7" t="n">
        <f aca="false">RANDBETWEEN(30,50)</f>
        <v>31</v>
      </c>
      <c r="C438" s="7" t="n">
        <f aca="false">RANDBETWEEN(0,1)</f>
        <v>0</v>
      </c>
      <c r="D438" s="7" t="str">
        <f aca="false">IF(C438=0, "Homme", "Femme")</f>
        <v>Homme</v>
      </c>
      <c r="E438" s="7" t="n">
        <f aca="false">RANDBETWEEN(1,3)</f>
        <v>2</v>
      </c>
      <c r="F438" s="7" t="str">
        <f aca="false">IF(E438=1, "Favorable", IF(E438=2, "Défavorable", "Ne se prononce pas"))</f>
        <v>Défavorable</v>
      </c>
    </row>
    <row r="439" customFormat="false" ht="15" hidden="false" customHeight="false" outlineLevel="0" collapsed="false">
      <c r="A439" s="7" t="n">
        <f aca="false">A438+1</f>
        <v>438</v>
      </c>
      <c r="B439" s="7" t="n">
        <f aca="false">RANDBETWEEN(30,50)</f>
        <v>39</v>
      </c>
      <c r="C439" s="7" t="n">
        <f aca="false">RANDBETWEEN(0,1)</f>
        <v>0</v>
      </c>
      <c r="D439" s="7" t="str">
        <f aca="false">IF(C439=0, "Homme", "Femme")</f>
        <v>Homme</v>
      </c>
      <c r="E439" s="7" t="n">
        <f aca="false">RANDBETWEEN(1,3)</f>
        <v>1</v>
      </c>
      <c r="F439" s="7" t="str">
        <f aca="false">IF(E439=1, "Favorable", IF(E439=2, "Défavorable", "Ne se prononce pas"))</f>
        <v>Favorable</v>
      </c>
    </row>
    <row r="440" customFormat="false" ht="15" hidden="false" customHeight="false" outlineLevel="0" collapsed="false">
      <c r="A440" s="7" t="n">
        <f aca="false">A439+1</f>
        <v>439</v>
      </c>
      <c r="B440" s="7" t="n">
        <f aca="false">RANDBETWEEN(30,50)</f>
        <v>32</v>
      </c>
      <c r="C440" s="7" t="n">
        <f aca="false">RANDBETWEEN(0,1)</f>
        <v>0</v>
      </c>
      <c r="D440" s="7" t="str">
        <f aca="false">IF(C440=0, "Homme", "Femme")</f>
        <v>Homme</v>
      </c>
      <c r="E440" s="7" t="n">
        <f aca="false">RANDBETWEEN(1,3)</f>
        <v>1</v>
      </c>
      <c r="F440" s="7" t="str">
        <f aca="false">IF(E440=1, "Favorable", IF(E440=2, "Défavorable", "Ne se prononce pas"))</f>
        <v>Favorable</v>
      </c>
    </row>
    <row r="441" customFormat="false" ht="15" hidden="false" customHeight="false" outlineLevel="0" collapsed="false">
      <c r="A441" s="7" t="n">
        <f aca="false">A440+1</f>
        <v>440</v>
      </c>
      <c r="B441" s="7" t="n">
        <f aca="false">RANDBETWEEN(30,50)</f>
        <v>37</v>
      </c>
      <c r="C441" s="7" t="n">
        <f aca="false">RANDBETWEEN(0,1)</f>
        <v>0</v>
      </c>
      <c r="D441" s="7" t="str">
        <f aca="false">IF(C441=0, "Homme", "Femme")</f>
        <v>Homme</v>
      </c>
      <c r="E441" s="7" t="n">
        <f aca="false">RANDBETWEEN(1,3)</f>
        <v>2</v>
      </c>
      <c r="F441" s="7" t="str">
        <f aca="false">IF(E441=1, "Favorable", IF(E441=2, "Défavorable", "Ne se prononce pas"))</f>
        <v>Défavorable</v>
      </c>
    </row>
    <row r="442" customFormat="false" ht="15" hidden="false" customHeight="false" outlineLevel="0" collapsed="false">
      <c r="A442" s="7" t="n">
        <f aca="false">A441+1</f>
        <v>441</v>
      </c>
      <c r="B442" s="7" t="n">
        <f aca="false">RANDBETWEEN(30,50)</f>
        <v>31</v>
      </c>
      <c r="C442" s="7" t="n">
        <f aca="false">RANDBETWEEN(0,1)</f>
        <v>1</v>
      </c>
      <c r="D442" s="7" t="str">
        <f aca="false">IF(C442=0, "Homme", "Femme")</f>
        <v>Femme</v>
      </c>
      <c r="E442" s="7" t="n">
        <f aca="false">RANDBETWEEN(1,3)</f>
        <v>1</v>
      </c>
      <c r="F442" s="7" t="str">
        <f aca="false">IF(E442=1, "Favorable", IF(E442=2, "Défavorable", "Ne se prononce pas"))</f>
        <v>Favorable</v>
      </c>
    </row>
    <row r="443" customFormat="false" ht="15" hidden="false" customHeight="false" outlineLevel="0" collapsed="false">
      <c r="A443" s="7" t="n">
        <f aca="false">A442+1</f>
        <v>442</v>
      </c>
      <c r="B443" s="7" t="n">
        <f aca="false">RANDBETWEEN(30,50)</f>
        <v>40</v>
      </c>
      <c r="C443" s="7" t="n">
        <f aca="false">RANDBETWEEN(0,1)</f>
        <v>1</v>
      </c>
      <c r="D443" s="7" t="str">
        <f aca="false">IF(C443=0, "Homme", "Femme")</f>
        <v>Femme</v>
      </c>
      <c r="E443" s="7" t="n">
        <f aca="false">RANDBETWEEN(1,3)</f>
        <v>3</v>
      </c>
      <c r="F443" s="7" t="str">
        <f aca="false">IF(E443=1, "Favorable", IF(E443=2, "Défavorable", "Ne se prononce pas"))</f>
        <v>Ne se prononce pas</v>
      </c>
    </row>
    <row r="444" customFormat="false" ht="15" hidden="false" customHeight="false" outlineLevel="0" collapsed="false">
      <c r="A444" s="7" t="n">
        <f aca="false">A443+1</f>
        <v>443</v>
      </c>
      <c r="B444" s="7" t="n">
        <f aca="false">RANDBETWEEN(30,50)</f>
        <v>43</v>
      </c>
      <c r="C444" s="7" t="n">
        <f aca="false">RANDBETWEEN(0,1)</f>
        <v>0</v>
      </c>
      <c r="D444" s="7" t="str">
        <f aca="false">IF(C444=0, "Homme", "Femme")</f>
        <v>Homme</v>
      </c>
      <c r="E444" s="7" t="n">
        <f aca="false">RANDBETWEEN(1,3)</f>
        <v>3</v>
      </c>
      <c r="F444" s="7" t="str">
        <f aca="false">IF(E444=1, "Favorable", IF(E444=2, "Défavorable", "Ne se prononce pas"))</f>
        <v>Ne se prononce pas</v>
      </c>
    </row>
    <row r="445" customFormat="false" ht="15" hidden="false" customHeight="false" outlineLevel="0" collapsed="false">
      <c r="A445" s="7" t="n">
        <f aca="false">A444+1</f>
        <v>444</v>
      </c>
      <c r="B445" s="7" t="n">
        <f aca="false">RANDBETWEEN(30,50)</f>
        <v>31</v>
      </c>
      <c r="C445" s="7" t="n">
        <f aca="false">RANDBETWEEN(0,1)</f>
        <v>1</v>
      </c>
      <c r="D445" s="7" t="str">
        <f aca="false">IF(C445=0, "Homme", "Femme")</f>
        <v>Femme</v>
      </c>
      <c r="E445" s="7" t="n">
        <f aca="false">RANDBETWEEN(1,3)</f>
        <v>3</v>
      </c>
      <c r="F445" s="7" t="str">
        <f aca="false">IF(E445=1, "Favorable", IF(E445=2, "Défavorable", "Ne se prononce pas"))</f>
        <v>Ne se prononce pas</v>
      </c>
    </row>
    <row r="446" customFormat="false" ht="15" hidden="false" customHeight="false" outlineLevel="0" collapsed="false">
      <c r="A446" s="7" t="n">
        <f aca="false">A445+1</f>
        <v>445</v>
      </c>
      <c r="B446" s="7" t="n">
        <f aca="false">RANDBETWEEN(30,50)</f>
        <v>38</v>
      </c>
      <c r="C446" s="7" t="n">
        <f aca="false">RANDBETWEEN(0,1)</f>
        <v>0</v>
      </c>
      <c r="D446" s="7" t="str">
        <f aca="false">IF(C446=0, "Homme", "Femme")</f>
        <v>Homme</v>
      </c>
      <c r="E446" s="7" t="n">
        <f aca="false">RANDBETWEEN(1,3)</f>
        <v>3</v>
      </c>
      <c r="F446" s="7" t="str">
        <f aca="false">IF(E446=1, "Favorable", IF(E446=2, "Défavorable", "Ne se prononce pas"))</f>
        <v>Ne se prononce pas</v>
      </c>
    </row>
    <row r="447" customFormat="false" ht="15" hidden="false" customHeight="false" outlineLevel="0" collapsed="false">
      <c r="A447" s="7" t="n">
        <f aca="false">A446+1</f>
        <v>446</v>
      </c>
      <c r="B447" s="7" t="n">
        <f aca="false">RANDBETWEEN(30,50)</f>
        <v>48</v>
      </c>
      <c r="C447" s="7" t="n">
        <f aca="false">RANDBETWEEN(0,1)</f>
        <v>1</v>
      </c>
      <c r="D447" s="7" t="str">
        <f aca="false">IF(C447=0, "Homme", "Femme")</f>
        <v>Femme</v>
      </c>
      <c r="E447" s="7" t="n">
        <f aca="false">RANDBETWEEN(1,3)</f>
        <v>2</v>
      </c>
      <c r="F447" s="7" t="str">
        <f aca="false">IF(E447=1, "Favorable", IF(E447=2, "Défavorable", "Ne se prononce pas"))</f>
        <v>Défavorable</v>
      </c>
    </row>
    <row r="448" customFormat="false" ht="15" hidden="false" customHeight="false" outlineLevel="0" collapsed="false">
      <c r="A448" s="7" t="n">
        <f aca="false">A447+1</f>
        <v>447</v>
      </c>
      <c r="B448" s="7" t="n">
        <f aca="false">RANDBETWEEN(30,50)</f>
        <v>33</v>
      </c>
      <c r="C448" s="7" t="n">
        <f aca="false">RANDBETWEEN(0,1)</f>
        <v>1</v>
      </c>
      <c r="D448" s="7" t="str">
        <f aca="false">IF(C448=0, "Homme", "Femme")</f>
        <v>Femme</v>
      </c>
      <c r="E448" s="7" t="n">
        <f aca="false">RANDBETWEEN(1,3)</f>
        <v>2</v>
      </c>
      <c r="F448" s="7" t="str">
        <f aca="false">IF(E448=1, "Favorable", IF(E448=2, "Défavorable", "Ne se prononce pas"))</f>
        <v>Défavorable</v>
      </c>
    </row>
    <row r="449" customFormat="false" ht="15" hidden="false" customHeight="false" outlineLevel="0" collapsed="false">
      <c r="A449" s="7" t="n">
        <f aca="false">A448+1</f>
        <v>448</v>
      </c>
      <c r="B449" s="7" t="n">
        <f aca="false">RANDBETWEEN(30,50)</f>
        <v>47</v>
      </c>
      <c r="C449" s="7" t="n">
        <f aca="false">RANDBETWEEN(0,1)</f>
        <v>0</v>
      </c>
      <c r="D449" s="7" t="str">
        <f aca="false">IF(C449=0, "Homme", "Femme")</f>
        <v>Homme</v>
      </c>
      <c r="E449" s="7" t="n">
        <f aca="false">RANDBETWEEN(1,3)</f>
        <v>2</v>
      </c>
      <c r="F449" s="7" t="str">
        <f aca="false">IF(E449=1, "Favorable", IF(E449=2, "Défavorable", "Ne se prononce pas"))</f>
        <v>Défavorable</v>
      </c>
    </row>
    <row r="450" customFormat="false" ht="15" hidden="false" customHeight="false" outlineLevel="0" collapsed="false">
      <c r="A450" s="7" t="n">
        <f aca="false">A449+1</f>
        <v>449</v>
      </c>
      <c r="B450" s="7" t="n">
        <f aca="false">RANDBETWEEN(30,50)</f>
        <v>39</v>
      </c>
      <c r="C450" s="7" t="n">
        <f aca="false">RANDBETWEEN(0,1)</f>
        <v>0</v>
      </c>
      <c r="D450" s="7" t="str">
        <f aca="false">IF(C450=0, "Homme", "Femme")</f>
        <v>Homme</v>
      </c>
      <c r="E450" s="7" t="n">
        <f aca="false">RANDBETWEEN(1,3)</f>
        <v>2</v>
      </c>
      <c r="F450" s="7" t="str">
        <f aca="false">IF(E450=1, "Favorable", IF(E450=2, "Défavorable", "Ne se prononce pas"))</f>
        <v>Défavorable</v>
      </c>
    </row>
    <row r="451" customFormat="false" ht="15" hidden="false" customHeight="false" outlineLevel="0" collapsed="false">
      <c r="A451" s="7" t="n">
        <f aca="false">A450+1</f>
        <v>450</v>
      </c>
      <c r="B451" s="7" t="n">
        <f aca="false">RANDBETWEEN(30,50)</f>
        <v>49</v>
      </c>
      <c r="C451" s="7" t="n">
        <f aca="false">RANDBETWEEN(0,1)</f>
        <v>1</v>
      </c>
      <c r="D451" s="7" t="str">
        <f aca="false">IF(C451=0, "Homme", "Femme")</f>
        <v>Femme</v>
      </c>
      <c r="E451" s="7" t="n">
        <f aca="false">RANDBETWEEN(1,3)</f>
        <v>2</v>
      </c>
      <c r="F451" s="7" t="str">
        <f aca="false">IF(E451=1, "Favorable", IF(E451=2, "Défavorable", "Ne se prononce pas"))</f>
        <v>Défavorable</v>
      </c>
    </row>
    <row r="452" customFormat="false" ht="15" hidden="false" customHeight="false" outlineLevel="0" collapsed="false">
      <c r="A452" s="7" t="n">
        <f aca="false">A451+1</f>
        <v>451</v>
      </c>
      <c r="B452" s="7" t="n">
        <f aca="false">RANDBETWEEN(30,50)</f>
        <v>41</v>
      </c>
      <c r="C452" s="7" t="n">
        <f aca="false">RANDBETWEEN(0,1)</f>
        <v>1</v>
      </c>
      <c r="D452" s="7" t="str">
        <f aca="false">IF(C452=0, "Homme", "Femme")</f>
        <v>Femme</v>
      </c>
      <c r="E452" s="7" t="n">
        <f aca="false">RANDBETWEEN(1,3)</f>
        <v>2</v>
      </c>
      <c r="F452" s="7" t="str">
        <f aca="false">IF(E452=1, "Favorable", IF(E452=2, "Défavorable", "Ne se prononce pas"))</f>
        <v>Défavorable</v>
      </c>
    </row>
    <row r="453" customFormat="false" ht="15" hidden="false" customHeight="false" outlineLevel="0" collapsed="false">
      <c r="A453" s="7" t="n">
        <f aca="false">A452+1</f>
        <v>452</v>
      </c>
      <c r="B453" s="7" t="n">
        <f aca="false">RANDBETWEEN(30,50)</f>
        <v>40</v>
      </c>
      <c r="C453" s="7" t="n">
        <f aca="false">RANDBETWEEN(0,1)</f>
        <v>1</v>
      </c>
      <c r="D453" s="7" t="str">
        <f aca="false">IF(C453=0, "Homme", "Femme")</f>
        <v>Femme</v>
      </c>
      <c r="E453" s="7" t="n">
        <f aca="false">RANDBETWEEN(1,3)</f>
        <v>1</v>
      </c>
      <c r="F453" s="7" t="str">
        <f aca="false">IF(E453=1, "Favorable", IF(E453=2, "Défavorable", "Ne se prononce pas"))</f>
        <v>Favorable</v>
      </c>
    </row>
    <row r="454" customFormat="false" ht="15" hidden="false" customHeight="false" outlineLevel="0" collapsed="false">
      <c r="A454" s="7" t="n">
        <f aca="false">A453+1</f>
        <v>453</v>
      </c>
      <c r="B454" s="7" t="n">
        <f aca="false">RANDBETWEEN(30,50)</f>
        <v>48</v>
      </c>
      <c r="C454" s="7" t="n">
        <f aca="false">RANDBETWEEN(0,1)</f>
        <v>1</v>
      </c>
      <c r="D454" s="7" t="str">
        <f aca="false">IF(C454=0, "Homme", "Femme")</f>
        <v>Femme</v>
      </c>
      <c r="E454" s="7" t="n">
        <f aca="false">RANDBETWEEN(1,3)</f>
        <v>1</v>
      </c>
      <c r="F454" s="7" t="str">
        <f aca="false">IF(E454=1, "Favorable", IF(E454=2, "Défavorable", "Ne se prononce pas"))</f>
        <v>Favorable</v>
      </c>
    </row>
    <row r="455" customFormat="false" ht="15" hidden="false" customHeight="false" outlineLevel="0" collapsed="false">
      <c r="A455" s="7" t="n">
        <f aca="false">A454+1</f>
        <v>454</v>
      </c>
      <c r="B455" s="7" t="n">
        <f aca="false">RANDBETWEEN(30,50)</f>
        <v>47</v>
      </c>
      <c r="C455" s="7" t="n">
        <f aca="false">RANDBETWEEN(0,1)</f>
        <v>0</v>
      </c>
      <c r="D455" s="7" t="str">
        <f aca="false">IF(C455=0, "Homme", "Femme")</f>
        <v>Homme</v>
      </c>
      <c r="E455" s="7" t="n">
        <f aca="false">RANDBETWEEN(1,3)</f>
        <v>3</v>
      </c>
      <c r="F455" s="7" t="str">
        <f aca="false">IF(E455=1, "Favorable", IF(E455=2, "Défavorable", "Ne se prononce pas"))</f>
        <v>Ne se prononce pas</v>
      </c>
    </row>
    <row r="456" customFormat="false" ht="15" hidden="false" customHeight="false" outlineLevel="0" collapsed="false">
      <c r="A456" s="7" t="n">
        <f aca="false">A455+1</f>
        <v>455</v>
      </c>
      <c r="B456" s="7" t="n">
        <f aca="false">RANDBETWEEN(30,50)</f>
        <v>43</v>
      </c>
      <c r="C456" s="7" t="n">
        <f aca="false">RANDBETWEEN(0,1)</f>
        <v>0</v>
      </c>
      <c r="D456" s="7" t="str">
        <f aca="false">IF(C456=0, "Homme", "Femme")</f>
        <v>Homme</v>
      </c>
      <c r="E456" s="7" t="n">
        <f aca="false">RANDBETWEEN(1,3)</f>
        <v>3</v>
      </c>
      <c r="F456" s="7" t="str">
        <f aca="false">IF(E456=1, "Favorable", IF(E456=2, "Défavorable", "Ne se prononce pas"))</f>
        <v>Ne se prononce pas</v>
      </c>
    </row>
    <row r="457" customFormat="false" ht="15" hidden="false" customHeight="false" outlineLevel="0" collapsed="false">
      <c r="A457" s="7" t="n">
        <f aca="false">A456+1</f>
        <v>456</v>
      </c>
      <c r="B457" s="7" t="n">
        <f aca="false">RANDBETWEEN(30,50)</f>
        <v>43</v>
      </c>
      <c r="C457" s="7" t="n">
        <f aca="false">RANDBETWEEN(0,1)</f>
        <v>1</v>
      </c>
      <c r="D457" s="7" t="str">
        <f aca="false">IF(C457=0, "Homme", "Femme")</f>
        <v>Femme</v>
      </c>
      <c r="E457" s="7" t="n">
        <f aca="false">RANDBETWEEN(1,3)</f>
        <v>3</v>
      </c>
      <c r="F457" s="7" t="str">
        <f aca="false">IF(E457=1, "Favorable", IF(E457=2, "Défavorable", "Ne se prononce pas"))</f>
        <v>Ne se prononce pas</v>
      </c>
    </row>
    <row r="458" customFormat="false" ht="15" hidden="false" customHeight="false" outlineLevel="0" collapsed="false">
      <c r="A458" s="7" t="n">
        <f aca="false">A457+1</f>
        <v>457</v>
      </c>
      <c r="B458" s="7" t="n">
        <f aca="false">RANDBETWEEN(30,50)</f>
        <v>47</v>
      </c>
      <c r="C458" s="7" t="n">
        <f aca="false">RANDBETWEEN(0,1)</f>
        <v>0</v>
      </c>
      <c r="D458" s="7" t="str">
        <f aca="false">IF(C458=0, "Homme", "Femme")</f>
        <v>Homme</v>
      </c>
      <c r="E458" s="7" t="n">
        <f aca="false">RANDBETWEEN(1,3)</f>
        <v>1</v>
      </c>
      <c r="F458" s="7" t="str">
        <f aca="false">IF(E458=1, "Favorable", IF(E458=2, "Défavorable", "Ne se prononce pas"))</f>
        <v>Favorable</v>
      </c>
    </row>
    <row r="459" customFormat="false" ht="15" hidden="false" customHeight="false" outlineLevel="0" collapsed="false">
      <c r="A459" s="7" t="n">
        <f aca="false">A458+1</f>
        <v>458</v>
      </c>
      <c r="B459" s="7" t="n">
        <f aca="false">RANDBETWEEN(30,50)</f>
        <v>43</v>
      </c>
      <c r="C459" s="7" t="n">
        <f aca="false">RANDBETWEEN(0,1)</f>
        <v>1</v>
      </c>
      <c r="D459" s="7" t="str">
        <f aca="false">IF(C459=0, "Homme", "Femme")</f>
        <v>Femme</v>
      </c>
      <c r="E459" s="7" t="n">
        <f aca="false">RANDBETWEEN(1,3)</f>
        <v>3</v>
      </c>
      <c r="F459" s="7" t="str">
        <f aca="false">IF(E459=1, "Favorable", IF(E459=2, "Défavorable", "Ne se prononce pas"))</f>
        <v>Ne se prononce pas</v>
      </c>
    </row>
    <row r="460" customFormat="false" ht="15" hidden="false" customHeight="false" outlineLevel="0" collapsed="false">
      <c r="A460" s="7" t="n">
        <f aca="false">A459+1</f>
        <v>459</v>
      </c>
      <c r="B460" s="7" t="n">
        <f aca="false">RANDBETWEEN(30,50)</f>
        <v>39</v>
      </c>
      <c r="C460" s="7" t="n">
        <f aca="false">RANDBETWEEN(0,1)</f>
        <v>1</v>
      </c>
      <c r="D460" s="7" t="str">
        <f aca="false">IF(C460=0, "Homme", "Femme")</f>
        <v>Femme</v>
      </c>
      <c r="E460" s="7" t="n">
        <f aca="false">RANDBETWEEN(1,3)</f>
        <v>3</v>
      </c>
      <c r="F460" s="7" t="str">
        <f aca="false">IF(E460=1, "Favorable", IF(E460=2, "Défavorable", "Ne se prononce pas"))</f>
        <v>Ne se prononce pas</v>
      </c>
    </row>
    <row r="461" customFormat="false" ht="15" hidden="false" customHeight="false" outlineLevel="0" collapsed="false">
      <c r="A461" s="7" t="n">
        <f aca="false">A460+1</f>
        <v>460</v>
      </c>
      <c r="B461" s="7" t="n">
        <f aca="false">RANDBETWEEN(30,50)</f>
        <v>41</v>
      </c>
      <c r="C461" s="7" t="n">
        <f aca="false">RANDBETWEEN(0,1)</f>
        <v>0</v>
      </c>
      <c r="D461" s="7" t="str">
        <f aca="false">IF(C461=0, "Homme", "Femme")</f>
        <v>Homme</v>
      </c>
      <c r="E461" s="7" t="n">
        <f aca="false">RANDBETWEEN(1,3)</f>
        <v>2</v>
      </c>
      <c r="F461" s="7" t="str">
        <f aca="false">IF(E461=1, "Favorable", IF(E461=2, "Défavorable", "Ne se prononce pas"))</f>
        <v>Défavorable</v>
      </c>
    </row>
    <row r="462" customFormat="false" ht="15" hidden="false" customHeight="false" outlineLevel="0" collapsed="false">
      <c r="A462" s="7" t="n">
        <f aca="false">A461+1</f>
        <v>461</v>
      </c>
      <c r="B462" s="7" t="n">
        <f aca="false">RANDBETWEEN(30,50)</f>
        <v>39</v>
      </c>
      <c r="C462" s="7" t="n">
        <f aca="false">RANDBETWEEN(0,1)</f>
        <v>1</v>
      </c>
      <c r="D462" s="7" t="str">
        <f aca="false">IF(C462=0, "Homme", "Femme")</f>
        <v>Femme</v>
      </c>
      <c r="E462" s="7" t="n">
        <f aca="false">RANDBETWEEN(1,3)</f>
        <v>3</v>
      </c>
      <c r="F462" s="7" t="str">
        <f aca="false">IF(E462=1, "Favorable", IF(E462=2, "Défavorable", "Ne se prononce pas"))</f>
        <v>Ne se prononce pas</v>
      </c>
    </row>
    <row r="463" customFormat="false" ht="15" hidden="false" customHeight="false" outlineLevel="0" collapsed="false">
      <c r="A463" s="7" t="n">
        <f aca="false">A462+1</f>
        <v>462</v>
      </c>
      <c r="B463" s="7" t="n">
        <f aca="false">RANDBETWEEN(30,50)</f>
        <v>46</v>
      </c>
      <c r="C463" s="7" t="n">
        <f aca="false">RANDBETWEEN(0,1)</f>
        <v>1</v>
      </c>
      <c r="D463" s="7" t="str">
        <f aca="false">IF(C463=0, "Homme", "Femme")</f>
        <v>Femme</v>
      </c>
      <c r="E463" s="7" t="n">
        <f aca="false">RANDBETWEEN(1,3)</f>
        <v>2</v>
      </c>
      <c r="F463" s="7" t="str">
        <f aca="false">IF(E463=1, "Favorable", IF(E463=2, "Défavorable", "Ne se prononce pas"))</f>
        <v>Défavorable</v>
      </c>
    </row>
    <row r="464" customFormat="false" ht="15" hidden="false" customHeight="false" outlineLevel="0" collapsed="false">
      <c r="A464" s="7" t="n">
        <f aca="false">A463+1</f>
        <v>463</v>
      </c>
      <c r="B464" s="7" t="n">
        <f aca="false">RANDBETWEEN(30,50)</f>
        <v>39</v>
      </c>
      <c r="C464" s="7" t="n">
        <f aca="false">RANDBETWEEN(0,1)</f>
        <v>0</v>
      </c>
      <c r="D464" s="7" t="str">
        <f aca="false">IF(C464=0, "Homme", "Femme")</f>
        <v>Homme</v>
      </c>
      <c r="E464" s="7" t="n">
        <f aca="false">RANDBETWEEN(1,3)</f>
        <v>2</v>
      </c>
      <c r="F464" s="7" t="str">
        <f aca="false">IF(E464=1, "Favorable", IF(E464=2, "Défavorable", "Ne se prononce pas"))</f>
        <v>Défavorable</v>
      </c>
    </row>
    <row r="465" customFormat="false" ht="15" hidden="false" customHeight="false" outlineLevel="0" collapsed="false">
      <c r="A465" s="7" t="n">
        <f aca="false">A464+1</f>
        <v>464</v>
      </c>
      <c r="B465" s="7" t="n">
        <f aca="false">RANDBETWEEN(30,50)</f>
        <v>31</v>
      </c>
      <c r="C465" s="7" t="n">
        <f aca="false">RANDBETWEEN(0,1)</f>
        <v>0</v>
      </c>
      <c r="D465" s="7" t="str">
        <f aca="false">IF(C465=0, "Homme", "Femme")</f>
        <v>Homme</v>
      </c>
      <c r="E465" s="7" t="n">
        <f aca="false">RANDBETWEEN(1,3)</f>
        <v>1</v>
      </c>
      <c r="F465" s="7" t="str">
        <f aca="false">IF(E465=1, "Favorable", IF(E465=2, "Défavorable", "Ne se prononce pas"))</f>
        <v>Favorable</v>
      </c>
    </row>
    <row r="466" customFormat="false" ht="15" hidden="false" customHeight="false" outlineLevel="0" collapsed="false">
      <c r="A466" s="7" t="n">
        <f aca="false">A465+1</f>
        <v>465</v>
      </c>
      <c r="B466" s="7" t="n">
        <f aca="false">RANDBETWEEN(30,50)</f>
        <v>42</v>
      </c>
      <c r="C466" s="7" t="n">
        <f aca="false">RANDBETWEEN(0,1)</f>
        <v>1</v>
      </c>
      <c r="D466" s="7" t="str">
        <f aca="false">IF(C466=0, "Homme", "Femme")</f>
        <v>Femme</v>
      </c>
      <c r="E466" s="7" t="n">
        <f aca="false">RANDBETWEEN(1,3)</f>
        <v>1</v>
      </c>
      <c r="F466" s="7" t="str">
        <f aca="false">IF(E466=1, "Favorable", IF(E466=2, "Défavorable", "Ne se prononce pas"))</f>
        <v>Favorable</v>
      </c>
    </row>
    <row r="467" customFormat="false" ht="15" hidden="false" customHeight="false" outlineLevel="0" collapsed="false">
      <c r="A467" s="7" t="n">
        <f aca="false">A466+1</f>
        <v>466</v>
      </c>
      <c r="B467" s="7" t="n">
        <f aca="false">RANDBETWEEN(30,50)</f>
        <v>33</v>
      </c>
      <c r="C467" s="7" t="n">
        <f aca="false">RANDBETWEEN(0,1)</f>
        <v>1</v>
      </c>
      <c r="D467" s="7" t="str">
        <f aca="false">IF(C467=0, "Homme", "Femme")</f>
        <v>Femme</v>
      </c>
      <c r="E467" s="7" t="n">
        <f aca="false">RANDBETWEEN(1,3)</f>
        <v>3</v>
      </c>
      <c r="F467" s="7" t="str">
        <f aca="false">IF(E467=1, "Favorable", IF(E467=2, "Défavorable", "Ne se prononce pas"))</f>
        <v>Ne se prononce pas</v>
      </c>
    </row>
    <row r="468" customFormat="false" ht="15" hidden="false" customHeight="false" outlineLevel="0" collapsed="false">
      <c r="A468" s="7" t="n">
        <f aca="false">A467+1</f>
        <v>467</v>
      </c>
      <c r="B468" s="7" t="n">
        <f aca="false">RANDBETWEEN(30,50)</f>
        <v>31</v>
      </c>
      <c r="C468" s="7" t="n">
        <f aca="false">RANDBETWEEN(0,1)</f>
        <v>0</v>
      </c>
      <c r="D468" s="7" t="str">
        <f aca="false">IF(C468=0, "Homme", "Femme")</f>
        <v>Homme</v>
      </c>
      <c r="E468" s="7" t="n">
        <f aca="false">RANDBETWEEN(1,3)</f>
        <v>3</v>
      </c>
      <c r="F468" s="7" t="str">
        <f aca="false">IF(E468=1, "Favorable", IF(E468=2, "Défavorable", "Ne se prononce pas"))</f>
        <v>Ne se prononce pas</v>
      </c>
    </row>
    <row r="469" customFormat="false" ht="15" hidden="false" customHeight="false" outlineLevel="0" collapsed="false">
      <c r="A469" s="7" t="n">
        <f aca="false">A468+1</f>
        <v>468</v>
      </c>
      <c r="B469" s="7" t="n">
        <f aca="false">RANDBETWEEN(30,50)</f>
        <v>45</v>
      </c>
      <c r="C469" s="7" t="n">
        <f aca="false">RANDBETWEEN(0,1)</f>
        <v>1</v>
      </c>
      <c r="D469" s="7" t="str">
        <f aca="false">IF(C469=0, "Homme", "Femme")</f>
        <v>Femme</v>
      </c>
      <c r="E469" s="7" t="n">
        <f aca="false">RANDBETWEEN(1,3)</f>
        <v>1</v>
      </c>
      <c r="F469" s="7" t="str">
        <f aca="false">IF(E469=1, "Favorable", IF(E469=2, "Défavorable", "Ne se prononce pas"))</f>
        <v>Favorable</v>
      </c>
    </row>
    <row r="470" customFormat="false" ht="15" hidden="false" customHeight="false" outlineLevel="0" collapsed="false">
      <c r="A470" s="7" t="n">
        <f aca="false">A469+1</f>
        <v>469</v>
      </c>
      <c r="B470" s="7" t="n">
        <f aca="false">RANDBETWEEN(30,50)</f>
        <v>33</v>
      </c>
      <c r="C470" s="7" t="n">
        <f aca="false">RANDBETWEEN(0,1)</f>
        <v>1</v>
      </c>
      <c r="D470" s="7" t="str">
        <f aca="false">IF(C470=0, "Homme", "Femme")</f>
        <v>Femme</v>
      </c>
      <c r="E470" s="7" t="n">
        <f aca="false">RANDBETWEEN(1,3)</f>
        <v>1</v>
      </c>
      <c r="F470" s="7" t="str">
        <f aca="false">IF(E470=1, "Favorable", IF(E470=2, "Défavorable", "Ne se prononce pas"))</f>
        <v>Favorable</v>
      </c>
    </row>
    <row r="471" customFormat="false" ht="15" hidden="false" customHeight="false" outlineLevel="0" collapsed="false">
      <c r="A471" s="7" t="n">
        <f aca="false">A470+1</f>
        <v>470</v>
      </c>
      <c r="B471" s="7" t="n">
        <f aca="false">RANDBETWEEN(30,50)</f>
        <v>50</v>
      </c>
      <c r="C471" s="7" t="n">
        <f aca="false">RANDBETWEEN(0,1)</f>
        <v>0</v>
      </c>
      <c r="D471" s="7" t="str">
        <f aca="false">IF(C471=0, "Homme", "Femme")</f>
        <v>Homme</v>
      </c>
      <c r="E471" s="7" t="n">
        <f aca="false">RANDBETWEEN(1,3)</f>
        <v>2</v>
      </c>
      <c r="F471" s="7" t="str">
        <f aca="false">IF(E471=1, "Favorable", IF(E471=2, "Défavorable", "Ne se prononce pas"))</f>
        <v>Défavorable</v>
      </c>
    </row>
    <row r="472" customFormat="false" ht="15" hidden="false" customHeight="false" outlineLevel="0" collapsed="false">
      <c r="A472" s="7" t="n">
        <f aca="false">A471+1</f>
        <v>471</v>
      </c>
      <c r="B472" s="7" t="n">
        <f aca="false">RANDBETWEEN(30,50)</f>
        <v>47</v>
      </c>
      <c r="C472" s="7" t="n">
        <f aca="false">RANDBETWEEN(0,1)</f>
        <v>1</v>
      </c>
      <c r="D472" s="7" t="str">
        <f aca="false">IF(C472=0, "Homme", "Femme")</f>
        <v>Femme</v>
      </c>
      <c r="E472" s="7" t="n">
        <f aca="false">RANDBETWEEN(1,3)</f>
        <v>3</v>
      </c>
      <c r="F472" s="7" t="str">
        <f aca="false">IF(E472=1, "Favorable", IF(E472=2, "Défavorable", "Ne se prononce pas"))</f>
        <v>Ne se prononce pas</v>
      </c>
    </row>
    <row r="473" customFormat="false" ht="15" hidden="false" customHeight="false" outlineLevel="0" collapsed="false">
      <c r="A473" s="7" t="n">
        <f aca="false">A472+1</f>
        <v>472</v>
      </c>
      <c r="B473" s="7" t="n">
        <f aca="false">RANDBETWEEN(30,50)</f>
        <v>40</v>
      </c>
      <c r="C473" s="7" t="n">
        <f aca="false">RANDBETWEEN(0,1)</f>
        <v>0</v>
      </c>
      <c r="D473" s="7" t="str">
        <f aca="false">IF(C473=0, "Homme", "Femme")</f>
        <v>Homme</v>
      </c>
      <c r="E473" s="7" t="n">
        <f aca="false">RANDBETWEEN(1,3)</f>
        <v>1</v>
      </c>
      <c r="F473" s="7" t="str">
        <f aca="false">IF(E473=1, "Favorable", IF(E473=2, "Défavorable", "Ne se prononce pas"))</f>
        <v>Favorable</v>
      </c>
    </row>
    <row r="474" customFormat="false" ht="15" hidden="false" customHeight="false" outlineLevel="0" collapsed="false">
      <c r="A474" s="7" t="n">
        <f aca="false">A473+1</f>
        <v>473</v>
      </c>
      <c r="B474" s="7" t="n">
        <f aca="false">RANDBETWEEN(30,50)</f>
        <v>49</v>
      </c>
      <c r="C474" s="7" t="n">
        <f aca="false">RANDBETWEEN(0,1)</f>
        <v>1</v>
      </c>
      <c r="D474" s="7" t="str">
        <f aca="false">IF(C474=0, "Homme", "Femme")</f>
        <v>Femme</v>
      </c>
      <c r="E474" s="7" t="n">
        <f aca="false">RANDBETWEEN(1,3)</f>
        <v>2</v>
      </c>
      <c r="F474" s="7" t="str">
        <f aca="false">IF(E474=1, "Favorable", IF(E474=2, "Défavorable", "Ne se prononce pas"))</f>
        <v>Défavorable</v>
      </c>
    </row>
    <row r="475" customFormat="false" ht="15" hidden="false" customHeight="false" outlineLevel="0" collapsed="false">
      <c r="A475" s="7" t="n">
        <f aca="false">A474+1</f>
        <v>474</v>
      </c>
      <c r="B475" s="7" t="n">
        <f aca="false">RANDBETWEEN(30,50)</f>
        <v>43</v>
      </c>
      <c r="C475" s="7" t="n">
        <f aca="false">RANDBETWEEN(0,1)</f>
        <v>0</v>
      </c>
      <c r="D475" s="7" t="str">
        <f aca="false">IF(C475=0, "Homme", "Femme")</f>
        <v>Homme</v>
      </c>
      <c r="E475" s="7" t="n">
        <f aca="false">RANDBETWEEN(1,3)</f>
        <v>2</v>
      </c>
      <c r="F475" s="7" t="str">
        <f aca="false">IF(E475=1, "Favorable", IF(E475=2, "Défavorable", "Ne se prononce pas"))</f>
        <v>Défavorable</v>
      </c>
    </row>
    <row r="476" customFormat="false" ht="15" hidden="false" customHeight="false" outlineLevel="0" collapsed="false">
      <c r="A476" s="7" t="n">
        <f aca="false">A475+1</f>
        <v>475</v>
      </c>
      <c r="B476" s="7" t="n">
        <f aca="false">RANDBETWEEN(30,50)</f>
        <v>49</v>
      </c>
      <c r="C476" s="7" t="n">
        <f aca="false">RANDBETWEEN(0,1)</f>
        <v>1</v>
      </c>
      <c r="D476" s="7" t="str">
        <f aca="false">IF(C476=0, "Homme", "Femme")</f>
        <v>Femme</v>
      </c>
      <c r="E476" s="7" t="n">
        <f aca="false">RANDBETWEEN(1,3)</f>
        <v>1</v>
      </c>
      <c r="F476" s="7" t="str">
        <f aca="false">IF(E476=1, "Favorable", IF(E476=2, "Défavorable", "Ne se prononce pas"))</f>
        <v>Favorable</v>
      </c>
    </row>
    <row r="477" customFormat="false" ht="15" hidden="false" customHeight="false" outlineLevel="0" collapsed="false">
      <c r="A477" s="7" t="n">
        <f aca="false">A476+1</f>
        <v>476</v>
      </c>
      <c r="B477" s="7" t="n">
        <f aca="false">RANDBETWEEN(30,50)</f>
        <v>40</v>
      </c>
      <c r="C477" s="7" t="n">
        <f aca="false">RANDBETWEEN(0,1)</f>
        <v>0</v>
      </c>
      <c r="D477" s="7" t="str">
        <f aca="false">IF(C477=0, "Homme", "Femme")</f>
        <v>Homme</v>
      </c>
      <c r="E477" s="7" t="n">
        <f aca="false">RANDBETWEEN(1,3)</f>
        <v>3</v>
      </c>
      <c r="F477" s="7" t="str">
        <f aca="false">IF(E477=1, "Favorable", IF(E477=2, "Défavorable", "Ne se prononce pas"))</f>
        <v>Ne se prononce pas</v>
      </c>
    </row>
    <row r="478" customFormat="false" ht="15" hidden="false" customHeight="false" outlineLevel="0" collapsed="false">
      <c r="A478" s="7" t="n">
        <f aca="false">A477+1</f>
        <v>477</v>
      </c>
      <c r="B478" s="7" t="n">
        <f aca="false">RANDBETWEEN(30,50)</f>
        <v>38</v>
      </c>
      <c r="C478" s="7" t="n">
        <f aca="false">RANDBETWEEN(0,1)</f>
        <v>0</v>
      </c>
      <c r="D478" s="7" t="str">
        <f aca="false">IF(C478=0, "Homme", "Femme")</f>
        <v>Homme</v>
      </c>
      <c r="E478" s="7" t="n">
        <f aca="false">RANDBETWEEN(1,3)</f>
        <v>3</v>
      </c>
      <c r="F478" s="7" t="str">
        <f aca="false">IF(E478=1, "Favorable", IF(E478=2, "Défavorable", "Ne se prononce pas"))</f>
        <v>Ne se prononce pas</v>
      </c>
    </row>
    <row r="479" customFormat="false" ht="15" hidden="false" customHeight="false" outlineLevel="0" collapsed="false">
      <c r="A479" s="7" t="n">
        <f aca="false">A478+1</f>
        <v>478</v>
      </c>
      <c r="B479" s="7" t="n">
        <f aca="false">RANDBETWEEN(30,50)</f>
        <v>38</v>
      </c>
      <c r="C479" s="7" t="n">
        <f aca="false">RANDBETWEEN(0,1)</f>
        <v>0</v>
      </c>
      <c r="D479" s="7" t="str">
        <f aca="false">IF(C479=0, "Homme", "Femme")</f>
        <v>Homme</v>
      </c>
      <c r="E479" s="7" t="n">
        <f aca="false">RANDBETWEEN(1,3)</f>
        <v>1</v>
      </c>
      <c r="F479" s="7" t="str">
        <f aca="false">IF(E479=1, "Favorable", IF(E479=2, "Défavorable", "Ne se prononce pas"))</f>
        <v>Favorable</v>
      </c>
    </row>
    <row r="480" customFormat="false" ht="15" hidden="false" customHeight="false" outlineLevel="0" collapsed="false">
      <c r="A480" s="7" t="n">
        <f aca="false">A479+1</f>
        <v>479</v>
      </c>
      <c r="B480" s="7" t="n">
        <f aca="false">RANDBETWEEN(30,50)</f>
        <v>38</v>
      </c>
      <c r="C480" s="7" t="n">
        <f aca="false">RANDBETWEEN(0,1)</f>
        <v>1</v>
      </c>
      <c r="D480" s="7" t="str">
        <f aca="false">IF(C480=0, "Homme", "Femme")</f>
        <v>Femme</v>
      </c>
      <c r="E480" s="7" t="n">
        <f aca="false">RANDBETWEEN(1,3)</f>
        <v>2</v>
      </c>
      <c r="F480" s="7" t="str">
        <f aca="false">IF(E480=1, "Favorable", IF(E480=2, "Défavorable", "Ne se prononce pas"))</f>
        <v>Défavorable</v>
      </c>
    </row>
    <row r="481" customFormat="false" ht="15" hidden="false" customHeight="false" outlineLevel="0" collapsed="false">
      <c r="A481" s="7" t="n">
        <f aca="false">A480+1</f>
        <v>480</v>
      </c>
      <c r="B481" s="7" t="n">
        <f aca="false">RANDBETWEEN(30,50)</f>
        <v>42</v>
      </c>
      <c r="C481" s="7" t="n">
        <f aca="false">RANDBETWEEN(0,1)</f>
        <v>0</v>
      </c>
      <c r="D481" s="7" t="str">
        <f aca="false">IF(C481=0, "Homme", "Femme")</f>
        <v>Homme</v>
      </c>
      <c r="E481" s="7" t="n">
        <f aca="false">RANDBETWEEN(1,3)</f>
        <v>2</v>
      </c>
      <c r="F481" s="7" t="str">
        <f aca="false">IF(E481=1, "Favorable", IF(E481=2, "Défavorable", "Ne se prononce pas"))</f>
        <v>Défavorable</v>
      </c>
    </row>
    <row r="482" customFormat="false" ht="15" hidden="false" customHeight="false" outlineLevel="0" collapsed="false">
      <c r="A482" s="7" t="n">
        <f aca="false">A481+1</f>
        <v>481</v>
      </c>
      <c r="B482" s="7" t="n">
        <f aca="false">RANDBETWEEN(30,50)</f>
        <v>43</v>
      </c>
      <c r="C482" s="7" t="n">
        <f aca="false">RANDBETWEEN(0,1)</f>
        <v>1</v>
      </c>
      <c r="D482" s="7" t="str">
        <f aca="false">IF(C482=0, "Homme", "Femme")</f>
        <v>Femme</v>
      </c>
      <c r="E482" s="7" t="n">
        <f aca="false">RANDBETWEEN(1,3)</f>
        <v>3</v>
      </c>
      <c r="F482" s="7" t="str">
        <f aca="false">IF(E482=1, "Favorable", IF(E482=2, "Défavorable", "Ne se prononce pas"))</f>
        <v>Ne se prononce pas</v>
      </c>
    </row>
    <row r="483" customFormat="false" ht="15" hidden="false" customHeight="false" outlineLevel="0" collapsed="false">
      <c r="A483" s="7" t="n">
        <f aca="false">A482+1</f>
        <v>482</v>
      </c>
      <c r="B483" s="7" t="n">
        <f aca="false">RANDBETWEEN(30,50)</f>
        <v>44</v>
      </c>
      <c r="C483" s="7" t="n">
        <f aca="false">RANDBETWEEN(0,1)</f>
        <v>1</v>
      </c>
      <c r="D483" s="7" t="str">
        <f aca="false">IF(C483=0, "Homme", "Femme")</f>
        <v>Femme</v>
      </c>
      <c r="E483" s="7" t="n">
        <f aca="false">RANDBETWEEN(1,3)</f>
        <v>3</v>
      </c>
      <c r="F483" s="7" t="str">
        <f aca="false">IF(E483=1, "Favorable", IF(E483=2, "Défavorable", "Ne se prononce pas"))</f>
        <v>Ne se prononce pas</v>
      </c>
    </row>
    <row r="484" customFormat="false" ht="15" hidden="false" customHeight="false" outlineLevel="0" collapsed="false">
      <c r="A484" s="7" t="n">
        <f aca="false">A483+1</f>
        <v>483</v>
      </c>
      <c r="B484" s="7" t="n">
        <f aca="false">RANDBETWEEN(30,50)</f>
        <v>32</v>
      </c>
      <c r="C484" s="7" t="n">
        <f aca="false">RANDBETWEEN(0,1)</f>
        <v>0</v>
      </c>
      <c r="D484" s="7" t="str">
        <f aca="false">IF(C484=0, "Homme", "Femme")</f>
        <v>Homme</v>
      </c>
      <c r="E484" s="7" t="n">
        <f aca="false">RANDBETWEEN(1,3)</f>
        <v>2</v>
      </c>
      <c r="F484" s="7" t="str">
        <f aca="false">IF(E484=1, "Favorable", IF(E484=2, "Défavorable", "Ne se prononce pas"))</f>
        <v>Défavorable</v>
      </c>
    </row>
    <row r="485" customFormat="false" ht="15" hidden="false" customHeight="false" outlineLevel="0" collapsed="false">
      <c r="A485" s="7" t="n">
        <f aca="false">A484+1</f>
        <v>484</v>
      </c>
      <c r="B485" s="7" t="n">
        <f aca="false">RANDBETWEEN(30,50)</f>
        <v>47</v>
      </c>
      <c r="C485" s="7" t="n">
        <f aca="false">RANDBETWEEN(0,1)</f>
        <v>1</v>
      </c>
      <c r="D485" s="7" t="str">
        <f aca="false">IF(C485=0, "Homme", "Femme")</f>
        <v>Femme</v>
      </c>
      <c r="E485" s="7" t="n">
        <f aca="false">RANDBETWEEN(1,3)</f>
        <v>1</v>
      </c>
      <c r="F485" s="7" t="str">
        <f aca="false">IF(E485=1, "Favorable", IF(E485=2, "Défavorable", "Ne se prononce pas"))</f>
        <v>Favorable</v>
      </c>
    </row>
    <row r="486" customFormat="false" ht="15" hidden="false" customHeight="false" outlineLevel="0" collapsed="false">
      <c r="A486" s="7" t="n">
        <f aca="false">A485+1</f>
        <v>485</v>
      </c>
      <c r="B486" s="7" t="n">
        <f aca="false">RANDBETWEEN(30,50)</f>
        <v>42</v>
      </c>
      <c r="C486" s="7" t="n">
        <f aca="false">RANDBETWEEN(0,1)</f>
        <v>1</v>
      </c>
      <c r="D486" s="7" t="str">
        <f aca="false">IF(C486=0, "Homme", "Femme")</f>
        <v>Femme</v>
      </c>
      <c r="E486" s="7" t="n">
        <f aca="false">RANDBETWEEN(1,3)</f>
        <v>2</v>
      </c>
      <c r="F486" s="7" t="str">
        <f aca="false">IF(E486=1, "Favorable", IF(E486=2, "Défavorable", "Ne se prononce pas"))</f>
        <v>Défavorable</v>
      </c>
    </row>
    <row r="487" customFormat="false" ht="15" hidden="false" customHeight="false" outlineLevel="0" collapsed="false">
      <c r="A487" s="7" t="n">
        <f aca="false">A486+1</f>
        <v>486</v>
      </c>
      <c r="B487" s="7" t="n">
        <f aca="false">RANDBETWEEN(30,50)</f>
        <v>49</v>
      </c>
      <c r="C487" s="7" t="n">
        <f aca="false">RANDBETWEEN(0,1)</f>
        <v>1</v>
      </c>
      <c r="D487" s="7" t="str">
        <f aca="false">IF(C487=0, "Homme", "Femme")</f>
        <v>Femme</v>
      </c>
      <c r="E487" s="7" t="n">
        <f aca="false">RANDBETWEEN(1,3)</f>
        <v>1</v>
      </c>
      <c r="F487" s="7" t="str">
        <f aca="false">IF(E487=1, "Favorable", IF(E487=2, "Défavorable", "Ne se prononce pas"))</f>
        <v>Favorable</v>
      </c>
    </row>
    <row r="488" customFormat="false" ht="15" hidden="false" customHeight="false" outlineLevel="0" collapsed="false">
      <c r="A488" s="7" t="n">
        <f aca="false">A487+1</f>
        <v>487</v>
      </c>
      <c r="B488" s="7" t="n">
        <f aca="false">RANDBETWEEN(30,50)</f>
        <v>44</v>
      </c>
      <c r="C488" s="7" t="n">
        <f aca="false">RANDBETWEEN(0,1)</f>
        <v>0</v>
      </c>
      <c r="D488" s="7" t="str">
        <f aca="false">IF(C488=0, "Homme", "Femme")</f>
        <v>Homme</v>
      </c>
      <c r="E488" s="7" t="n">
        <f aca="false">RANDBETWEEN(1,3)</f>
        <v>3</v>
      </c>
      <c r="F488" s="7" t="str">
        <f aca="false">IF(E488=1, "Favorable", IF(E488=2, "Défavorable", "Ne se prononce pas"))</f>
        <v>Ne se prononce pas</v>
      </c>
    </row>
    <row r="489" customFormat="false" ht="15" hidden="false" customHeight="false" outlineLevel="0" collapsed="false">
      <c r="A489" s="7" t="n">
        <f aca="false">A488+1</f>
        <v>488</v>
      </c>
      <c r="B489" s="7" t="n">
        <f aca="false">RANDBETWEEN(30,50)</f>
        <v>44</v>
      </c>
      <c r="C489" s="7" t="n">
        <f aca="false">RANDBETWEEN(0,1)</f>
        <v>0</v>
      </c>
      <c r="D489" s="7" t="str">
        <f aca="false">IF(C489=0, "Homme", "Femme")</f>
        <v>Homme</v>
      </c>
      <c r="E489" s="7" t="n">
        <f aca="false">RANDBETWEEN(1,3)</f>
        <v>1</v>
      </c>
      <c r="F489" s="7" t="str">
        <f aca="false">IF(E489=1, "Favorable", IF(E489=2, "Défavorable", "Ne se prononce pas"))</f>
        <v>Favorable</v>
      </c>
    </row>
    <row r="490" customFormat="false" ht="15" hidden="false" customHeight="false" outlineLevel="0" collapsed="false">
      <c r="A490" s="7" t="n">
        <f aca="false">A489+1</f>
        <v>489</v>
      </c>
      <c r="B490" s="7" t="n">
        <f aca="false">RANDBETWEEN(30,50)</f>
        <v>45</v>
      </c>
      <c r="C490" s="7" t="n">
        <f aca="false">RANDBETWEEN(0,1)</f>
        <v>0</v>
      </c>
      <c r="D490" s="7" t="str">
        <f aca="false">IF(C490=0, "Homme", "Femme")</f>
        <v>Homme</v>
      </c>
      <c r="E490" s="7" t="n">
        <f aca="false">RANDBETWEEN(1,3)</f>
        <v>2</v>
      </c>
      <c r="F490" s="7" t="str">
        <f aca="false">IF(E490=1, "Favorable", IF(E490=2, "Défavorable", "Ne se prononce pas"))</f>
        <v>Défavorable</v>
      </c>
    </row>
    <row r="491" customFormat="false" ht="15" hidden="false" customHeight="false" outlineLevel="0" collapsed="false">
      <c r="A491" s="7" t="n">
        <f aca="false">A490+1</f>
        <v>490</v>
      </c>
      <c r="B491" s="7" t="n">
        <f aca="false">RANDBETWEEN(30,50)</f>
        <v>45</v>
      </c>
      <c r="C491" s="7" t="n">
        <f aca="false">RANDBETWEEN(0,1)</f>
        <v>1</v>
      </c>
      <c r="D491" s="7" t="str">
        <f aca="false">IF(C491=0, "Homme", "Femme")</f>
        <v>Femme</v>
      </c>
      <c r="E491" s="7" t="n">
        <f aca="false">RANDBETWEEN(1,3)</f>
        <v>2</v>
      </c>
      <c r="F491" s="7" t="str">
        <f aca="false">IF(E491=1, "Favorable", IF(E491=2, "Défavorable", "Ne se prononce pas"))</f>
        <v>Défavorable</v>
      </c>
    </row>
    <row r="492" customFormat="false" ht="15" hidden="false" customHeight="false" outlineLevel="0" collapsed="false">
      <c r="A492" s="7" t="n">
        <f aca="false">A491+1</f>
        <v>491</v>
      </c>
      <c r="B492" s="7" t="n">
        <f aca="false">RANDBETWEEN(30,50)</f>
        <v>49</v>
      </c>
      <c r="C492" s="7" t="n">
        <f aca="false">RANDBETWEEN(0,1)</f>
        <v>1</v>
      </c>
      <c r="D492" s="7" t="str">
        <f aca="false">IF(C492=0, "Homme", "Femme")</f>
        <v>Femme</v>
      </c>
      <c r="E492" s="7" t="n">
        <f aca="false">RANDBETWEEN(1,3)</f>
        <v>3</v>
      </c>
      <c r="F492" s="7" t="str">
        <f aca="false">IF(E492=1, "Favorable", IF(E492=2, "Défavorable", "Ne se prononce pas"))</f>
        <v>Ne se prononce pas</v>
      </c>
    </row>
    <row r="493" customFormat="false" ht="15" hidden="false" customHeight="false" outlineLevel="0" collapsed="false">
      <c r="A493" s="7" t="n">
        <f aca="false">A492+1</f>
        <v>492</v>
      </c>
      <c r="B493" s="7" t="n">
        <f aca="false">RANDBETWEEN(30,50)</f>
        <v>48</v>
      </c>
      <c r="C493" s="7" t="n">
        <f aca="false">RANDBETWEEN(0,1)</f>
        <v>1</v>
      </c>
      <c r="D493" s="7" t="str">
        <f aca="false">IF(C493=0, "Homme", "Femme")</f>
        <v>Femme</v>
      </c>
      <c r="E493" s="7" t="n">
        <f aca="false">RANDBETWEEN(1,3)</f>
        <v>3</v>
      </c>
      <c r="F493" s="7" t="str">
        <f aca="false">IF(E493=1, "Favorable", IF(E493=2, "Défavorable", "Ne se prononce pas"))</f>
        <v>Ne se prononce pas</v>
      </c>
    </row>
    <row r="494" customFormat="false" ht="15" hidden="false" customHeight="false" outlineLevel="0" collapsed="false">
      <c r="A494" s="7" t="n">
        <f aca="false">A493+1</f>
        <v>493</v>
      </c>
      <c r="B494" s="7" t="n">
        <f aca="false">RANDBETWEEN(30,50)</f>
        <v>35</v>
      </c>
      <c r="C494" s="7" t="n">
        <f aca="false">RANDBETWEEN(0,1)</f>
        <v>1</v>
      </c>
      <c r="D494" s="7" t="str">
        <f aca="false">IF(C494=0, "Homme", "Femme")</f>
        <v>Femme</v>
      </c>
      <c r="E494" s="7" t="n">
        <f aca="false">RANDBETWEEN(1,3)</f>
        <v>1</v>
      </c>
      <c r="F494" s="7" t="str">
        <f aca="false">IF(E494=1, "Favorable", IF(E494=2, "Défavorable", "Ne se prononce pas"))</f>
        <v>Favorable</v>
      </c>
    </row>
    <row r="495" customFormat="false" ht="15" hidden="false" customHeight="false" outlineLevel="0" collapsed="false">
      <c r="A495" s="7" t="n">
        <f aca="false">A494+1</f>
        <v>494</v>
      </c>
      <c r="B495" s="7" t="n">
        <f aca="false">RANDBETWEEN(30,50)</f>
        <v>46</v>
      </c>
      <c r="C495" s="7" t="n">
        <f aca="false">RANDBETWEEN(0,1)</f>
        <v>1</v>
      </c>
      <c r="D495" s="7" t="str">
        <f aca="false">IF(C495=0, "Homme", "Femme")</f>
        <v>Femme</v>
      </c>
      <c r="E495" s="7" t="n">
        <f aca="false">RANDBETWEEN(1,3)</f>
        <v>1</v>
      </c>
      <c r="F495" s="7" t="str">
        <f aca="false">IF(E495=1, "Favorable", IF(E495=2, "Défavorable", "Ne se prononce pas"))</f>
        <v>Favorable</v>
      </c>
    </row>
    <row r="496" customFormat="false" ht="15" hidden="false" customHeight="false" outlineLevel="0" collapsed="false">
      <c r="A496" s="7" t="n">
        <f aca="false">A495+1</f>
        <v>495</v>
      </c>
      <c r="B496" s="7" t="n">
        <f aca="false">RANDBETWEEN(30,50)</f>
        <v>36</v>
      </c>
      <c r="C496" s="7" t="n">
        <f aca="false">RANDBETWEEN(0,1)</f>
        <v>1</v>
      </c>
      <c r="D496" s="7" t="str">
        <f aca="false">IF(C496=0, "Homme", "Femme")</f>
        <v>Femme</v>
      </c>
      <c r="E496" s="7" t="n">
        <f aca="false">RANDBETWEEN(1,3)</f>
        <v>3</v>
      </c>
      <c r="F496" s="7" t="str">
        <f aca="false">IF(E496=1, "Favorable", IF(E496=2, "Défavorable", "Ne se prononce pas"))</f>
        <v>Ne se prononce pas</v>
      </c>
    </row>
    <row r="497" customFormat="false" ht="15" hidden="false" customHeight="false" outlineLevel="0" collapsed="false">
      <c r="A497" s="7" t="n">
        <f aca="false">A496+1</f>
        <v>496</v>
      </c>
      <c r="B497" s="7" t="n">
        <f aca="false">RANDBETWEEN(30,50)</f>
        <v>42</v>
      </c>
      <c r="C497" s="7" t="n">
        <f aca="false">RANDBETWEEN(0,1)</f>
        <v>0</v>
      </c>
      <c r="D497" s="7" t="str">
        <f aca="false">IF(C497=0, "Homme", "Femme")</f>
        <v>Homme</v>
      </c>
      <c r="E497" s="7" t="n">
        <f aca="false">RANDBETWEEN(1,3)</f>
        <v>3</v>
      </c>
      <c r="F497" s="7" t="str">
        <f aca="false">IF(E497=1, "Favorable", IF(E497=2, "Défavorable", "Ne se prononce pas"))</f>
        <v>Ne se prononce pas</v>
      </c>
    </row>
    <row r="498" customFormat="false" ht="15" hidden="false" customHeight="false" outlineLevel="0" collapsed="false">
      <c r="A498" s="7" t="n">
        <f aca="false">A497+1</f>
        <v>497</v>
      </c>
      <c r="B498" s="7" t="n">
        <f aca="false">RANDBETWEEN(30,50)</f>
        <v>31</v>
      </c>
      <c r="C498" s="7" t="n">
        <f aca="false">RANDBETWEEN(0,1)</f>
        <v>0</v>
      </c>
      <c r="D498" s="7" t="str">
        <f aca="false">IF(C498=0, "Homme", "Femme")</f>
        <v>Homme</v>
      </c>
      <c r="E498" s="7" t="n">
        <f aca="false">RANDBETWEEN(1,3)</f>
        <v>2</v>
      </c>
      <c r="F498" s="7" t="str">
        <f aca="false">IF(E498=1, "Favorable", IF(E498=2, "Défavorable", "Ne se prononce pas"))</f>
        <v>Défavorable</v>
      </c>
    </row>
    <row r="499" customFormat="false" ht="15" hidden="false" customHeight="false" outlineLevel="0" collapsed="false">
      <c r="A499" s="7" t="n">
        <f aca="false">A498+1</f>
        <v>498</v>
      </c>
      <c r="B499" s="7" t="n">
        <f aca="false">RANDBETWEEN(30,50)</f>
        <v>32</v>
      </c>
      <c r="C499" s="7" t="n">
        <f aca="false">RANDBETWEEN(0,1)</f>
        <v>1</v>
      </c>
      <c r="D499" s="7" t="str">
        <f aca="false">IF(C499=0, "Homme", "Femme")</f>
        <v>Femme</v>
      </c>
      <c r="E499" s="7" t="n">
        <f aca="false">RANDBETWEEN(1,3)</f>
        <v>3</v>
      </c>
      <c r="F499" s="7" t="str">
        <f aca="false">IF(E499=1, "Favorable", IF(E499=2, "Défavorable", "Ne se prononce pas"))</f>
        <v>Ne se prononce pas</v>
      </c>
    </row>
    <row r="500" customFormat="false" ht="15" hidden="false" customHeight="false" outlineLevel="0" collapsed="false">
      <c r="A500" s="7" t="n">
        <f aca="false">A499+1</f>
        <v>499</v>
      </c>
      <c r="B500" s="7" t="n">
        <f aca="false">RANDBETWEEN(30,50)</f>
        <v>46</v>
      </c>
      <c r="C500" s="7" t="n">
        <f aca="false">RANDBETWEEN(0,1)</f>
        <v>0</v>
      </c>
      <c r="D500" s="7" t="str">
        <f aca="false">IF(C500=0, "Homme", "Femme")</f>
        <v>Homme</v>
      </c>
      <c r="E500" s="7" t="n">
        <f aca="false">RANDBETWEEN(1,3)</f>
        <v>2</v>
      </c>
      <c r="F500" s="7" t="str">
        <f aca="false">IF(E500=1, "Favorable", IF(E500=2, "Défavorable", "Ne se prononce pas"))</f>
        <v>Défavorable</v>
      </c>
    </row>
    <row r="501" customFormat="false" ht="15" hidden="false" customHeight="false" outlineLevel="0" collapsed="false">
      <c r="A501" s="7" t="n">
        <f aca="false">A500+1</f>
        <v>500</v>
      </c>
      <c r="B501" s="7" t="n">
        <f aca="false">RANDBETWEEN(30,50)</f>
        <v>32</v>
      </c>
      <c r="C501" s="7" t="n">
        <f aca="false">RANDBETWEEN(0,1)</f>
        <v>0</v>
      </c>
      <c r="D501" s="7" t="str">
        <f aca="false">IF(C501=0, "Homme", "Femme")</f>
        <v>Homme</v>
      </c>
      <c r="E501" s="7" t="n">
        <f aca="false">RANDBETWEEN(1,3)</f>
        <v>2</v>
      </c>
      <c r="F501" s="7" t="str">
        <f aca="false">IF(E501=1, "Favorable", IF(E501=2, "Défavorable", "Ne se prononce pas"))</f>
        <v>Défavorable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Collabora_Office/24.04.14.3$Linux_X86_64 LibreOffice_project/54d8f210e7016c92953f55a6d1624e360fe0f876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2022-05-03T12:10:11Z</dcterms:created>
  <dc:creator>Fatma BOUALI</dc:creator>
  <dc:description/>
  <dc:language>fr-FR</dc:language>
  <cp:lastModifiedBy/>
  <dcterms:modified xsi:type="dcterms:W3CDTF">2025-05-20T08:20:48Z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