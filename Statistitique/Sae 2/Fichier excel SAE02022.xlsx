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am\Downloads\SAE\"/>
    </mc:Choice>
  </mc:AlternateContent>
  <xr:revisionPtr revIDLastSave="0" documentId="13_ncr:1_{02A360B0-8D68-4D7E-AD1E-0CBBA5DFDAF4}" xr6:coauthVersionLast="47" xr6:coauthVersionMax="47" xr10:uidLastSave="{00000000-0000-0000-0000-000000000000}"/>
  <bookViews>
    <workbookView xWindow="-120" yWindow="-120" windowWidth="29040" windowHeight="15990" firstSheet="2" activeTab="3" xr2:uid="{00000000-000D-0000-FFFF-FFFF00000000}"/>
  </bookViews>
  <sheets>
    <sheet name="Tableau à 500 individus" sheetId="2" r:id="rId1"/>
    <sheet name="Echantillon population total" sheetId="19" r:id="rId2"/>
    <sheet name="Echantillon Homme" sheetId="23" r:id="rId3"/>
    <sheet name="Echantillon Femme" sheetId="24" r:id="rId4"/>
    <sheet name="Formules" sheetId="1" state="hidden" r:id="rId5"/>
    <sheet name="Feuil3" sheetId="3" state="hidden" r:id="rId6"/>
  </sheets>
  <calcPr calcId="191029" iterateDelta="1E-4"/>
</workbook>
</file>

<file path=xl/calcChain.xml><?xml version="1.0" encoding="utf-8"?>
<calcChain xmlns="http://schemas.openxmlformats.org/spreadsheetml/2006/main">
  <c r="M7" i="24" l="1"/>
  <c r="M7" i="23"/>
  <c r="M5" i="23"/>
  <c r="M6" i="23"/>
  <c r="M7" i="19"/>
  <c r="O3" i="23"/>
  <c r="O4" i="23"/>
  <c r="O5" i="23"/>
  <c r="O6" i="23"/>
  <c r="O7" i="23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2" i="23"/>
  <c r="O3" i="24"/>
  <c r="O4" i="24"/>
  <c r="O5" i="24"/>
  <c r="O6" i="24"/>
  <c r="O7" i="24"/>
  <c r="O8" i="24"/>
  <c r="O9" i="24"/>
  <c r="O10" i="24"/>
  <c r="O11" i="24"/>
  <c r="O12" i="24"/>
  <c r="O13" i="24"/>
  <c r="O14" i="24"/>
  <c r="M6" i="24" s="1"/>
  <c r="O15" i="24"/>
  <c r="O16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2" i="24"/>
  <c r="M5" i="24"/>
  <c r="M6" i="19"/>
  <c r="O3" i="19"/>
  <c r="O4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2" i="19"/>
  <c r="M5" i="19"/>
  <c r="K4" i="2"/>
  <c r="K5" i="2"/>
  <c r="K3" i="2"/>
  <c r="E501" i="1"/>
  <c r="F501" i="1" s="1"/>
  <c r="C501" i="1"/>
  <c r="D501" i="1" s="1"/>
  <c r="B501" i="1"/>
  <c r="B354" i="1"/>
  <c r="C354" i="1"/>
  <c r="D354" i="1" s="1"/>
  <c r="E354" i="1"/>
  <c r="F354" i="1" s="1"/>
  <c r="B355" i="1"/>
  <c r="C355" i="1"/>
  <c r="D355" i="1" s="1"/>
  <c r="E355" i="1"/>
  <c r="F355" i="1" s="1"/>
  <c r="B356" i="1"/>
  <c r="C356" i="1"/>
  <c r="D356" i="1" s="1"/>
  <c r="E356" i="1"/>
  <c r="F356" i="1" s="1"/>
  <c r="B357" i="1"/>
  <c r="C357" i="1"/>
  <c r="D357" i="1" s="1"/>
  <c r="E357" i="1"/>
  <c r="F357" i="1" s="1"/>
  <c r="B358" i="1"/>
  <c r="C358" i="1"/>
  <c r="D358" i="1" s="1"/>
  <c r="E358" i="1"/>
  <c r="F358" i="1" s="1"/>
  <c r="B359" i="1"/>
  <c r="C359" i="1"/>
  <c r="D359" i="1" s="1"/>
  <c r="E359" i="1"/>
  <c r="F359" i="1" s="1"/>
  <c r="B360" i="1"/>
  <c r="C360" i="1"/>
  <c r="D360" i="1" s="1"/>
  <c r="E360" i="1"/>
  <c r="F360" i="1" s="1"/>
  <c r="B361" i="1"/>
  <c r="C361" i="1"/>
  <c r="D361" i="1" s="1"/>
  <c r="E361" i="1"/>
  <c r="F361" i="1" s="1"/>
  <c r="B362" i="1"/>
  <c r="C362" i="1"/>
  <c r="D362" i="1" s="1"/>
  <c r="E362" i="1"/>
  <c r="F362" i="1" s="1"/>
  <c r="B363" i="1"/>
  <c r="C363" i="1"/>
  <c r="D363" i="1" s="1"/>
  <c r="E363" i="1"/>
  <c r="F363" i="1" s="1"/>
  <c r="B364" i="1"/>
  <c r="C364" i="1"/>
  <c r="D364" i="1" s="1"/>
  <c r="E364" i="1"/>
  <c r="F364" i="1" s="1"/>
  <c r="B365" i="1"/>
  <c r="C365" i="1"/>
  <c r="D365" i="1" s="1"/>
  <c r="E365" i="1"/>
  <c r="F365" i="1" s="1"/>
  <c r="B366" i="1"/>
  <c r="C366" i="1"/>
  <c r="D366" i="1" s="1"/>
  <c r="E366" i="1"/>
  <c r="F366" i="1" s="1"/>
  <c r="B367" i="1"/>
  <c r="C367" i="1"/>
  <c r="D367" i="1" s="1"/>
  <c r="E367" i="1"/>
  <c r="F367" i="1" s="1"/>
  <c r="B368" i="1"/>
  <c r="C368" i="1"/>
  <c r="D368" i="1" s="1"/>
  <c r="E368" i="1"/>
  <c r="F368" i="1" s="1"/>
  <c r="B369" i="1"/>
  <c r="C369" i="1"/>
  <c r="D369" i="1" s="1"/>
  <c r="E369" i="1"/>
  <c r="F369" i="1" s="1"/>
  <c r="B370" i="1"/>
  <c r="C370" i="1"/>
  <c r="D370" i="1" s="1"/>
  <c r="E370" i="1"/>
  <c r="F370" i="1" s="1"/>
  <c r="B371" i="1"/>
  <c r="C371" i="1"/>
  <c r="D371" i="1" s="1"/>
  <c r="E371" i="1"/>
  <c r="F371" i="1" s="1"/>
  <c r="B372" i="1"/>
  <c r="C372" i="1"/>
  <c r="D372" i="1" s="1"/>
  <c r="E372" i="1"/>
  <c r="F372" i="1" s="1"/>
  <c r="B373" i="1"/>
  <c r="C373" i="1"/>
  <c r="D373" i="1" s="1"/>
  <c r="E373" i="1"/>
  <c r="F373" i="1" s="1"/>
  <c r="B374" i="1"/>
  <c r="C374" i="1"/>
  <c r="D374" i="1" s="1"/>
  <c r="E374" i="1"/>
  <c r="F374" i="1" s="1"/>
  <c r="B375" i="1"/>
  <c r="C375" i="1"/>
  <c r="D375" i="1" s="1"/>
  <c r="E375" i="1"/>
  <c r="F375" i="1" s="1"/>
  <c r="B376" i="1"/>
  <c r="C376" i="1"/>
  <c r="D376" i="1" s="1"/>
  <c r="E376" i="1"/>
  <c r="F376" i="1" s="1"/>
  <c r="B377" i="1"/>
  <c r="C377" i="1"/>
  <c r="D377" i="1" s="1"/>
  <c r="E377" i="1"/>
  <c r="F377" i="1" s="1"/>
  <c r="B378" i="1"/>
  <c r="C378" i="1"/>
  <c r="D378" i="1" s="1"/>
  <c r="E378" i="1"/>
  <c r="F378" i="1" s="1"/>
  <c r="B379" i="1"/>
  <c r="C379" i="1"/>
  <c r="D379" i="1" s="1"/>
  <c r="E379" i="1"/>
  <c r="F379" i="1" s="1"/>
  <c r="B380" i="1"/>
  <c r="C380" i="1"/>
  <c r="D380" i="1" s="1"/>
  <c r="E380" i="1"/>
  <c r="F380" i="1" s="1"/>
  <c r="B381" i="1"/>
  <c r="C381" i="1"/>
  <c r="D381" i="1" s="1"/>
  <c r="E381" i="1"/>
  <c r="F381" i="1" s="1"/>
  <c r="B382" i="1"/>
  <c r="C382" i="1"/>
  <c r="D382" i="1" s="1"/>
  <c r="E382" i="1"/>
  <c r="F382" i="1" s="1"/>
  <c r="B383" i="1"/>
  <c r="C383" i="1"/>
  <c r="D383" i="1" s="1"/>
  <c r="E383" i="1"/>
  <c r="F383" i="1" s="1"/>
  <c r="B384" i="1"/>
  <c r="C384" i="1"/>
  <c r="D384" i="1" s="1"/>
  <c r="E384" i="1"/>
  <c r="F384" i="1" s="1"/>
  <c r="B385" i="1"/>
  <c r="C385" i="1"/>
  <c r="D385" i="1" s="1"/>
  <c r="E385" i="1"/>
  <c r="F385" i="1" s="1"/>
  <c r="B386" i="1"/>
  <c r="C386" i="1"/>
  <c r="D386" i="1" s="1"/>
  <c r="E386" i="1"/>
  <c r="F386" i="1" s="1"/>
  <c r="B387" i="1"/>
  <c r="C387" i="1"/>
  <c r="D387" i="1" s="1"/>
  <c r="E387" i="1"/>
  <c r="F387" i="1" s="1"/>
  <c r="B388" i="1"/>
  <c r="C388" i="1"/>
  <c r="D388" i="1" s="1"/>
  <c r="E388" i="1"/>
  <c r="F388" i="1" s="1"/>
  <c r="B389" i="1"/>
  <c r="C389" i="1"/>
  <c r="D389" i="1" s="1"/>
  <c r="E389" i="1"/>
  <c r="F389" i="1" s="1"/>
  <c r="B390" i="1"/>
  <c r="C390" i="1"/>
  <c r="D390" i="1" s="1"/>
  <c r="E390" i="1"/>
  <c r="F390" i="1" s="1"/>
  <c r="B391" i="1"/>
  <c r="C391" i="1"/>
  <c r="D391" i="1" s="1"/>
  <c r="E391" i="1"/>
  <c r="F391" i="1" s="1"/>
  <c r="B392" i="1"/>
  <c r="C392" i="1"/>
  <c r="D392" i="1" s="1"/>
  <c r="E392" i="1"/>
  <c r="F392" i="1" s="1"/>
  <c r="B393" i="1"/>
  <c r="C393" i="1"/>
  <c r="D393" i="1" s="1"/>
  <c r="E393" i="1"/>
  <c r="F393" i="1" s="1"/>
  <c r="B394" i="1"/>
  <c r="C394" i="1"/>
  <c r="D394" i="1" s="1"/>
  <c r="E394" i="1"/>
  <c r="F394" i="1" s="1"/>
  <c r="B395" i="1"/>
  <c r="C395" i="1"/>
  <c r="D395" i="1" s="1"/>
  <c r="E395" i="1"/>
  <c r="F395" i="1" s="1"/>
  <c r="B396" i="1"/>
  <c r="C396" i="1"/>
  <c r="D396" i="1" s="1"/>
  <c r="E396" i="1"/>
  <c r="F396" i="1" s="1"/>
  <c r="B397" i="1"/>
  <c r="C397" i="1"/>
  <c r="D397" i="1" s="1"/>
  <c r="E397" i="1"/>
  <c r="F397" i="1" s="1"/>
  <c r="B398" i="1"/>
  <c r="C398" i="1"/>
  <c r="D398" i="1" s="1"/>
  <c r="E398" i="1"/>
  <c r="F398" i="1" s="1"/>
  <c r="B399" i="1"/>
  <c r="C399" i="1"/>
  <c r="D399" i="1" s="1"/>
  <c r="E399" i="1"/>
  <c r="F399" i="1" s="1"/>
  <c r="B400" i="1"/>
  <c r="C400" i="1"/>
  <c r="D400" i="1" s="1"/>
  <c r="E400" i="1"/>
  <c r="F400" i="1" s="1"/>
  <c r="B401" i="1"/>
  <c r="C401" i="1"/>
  <c r="D401" i="1" s="1"/>
  <c r="E401" i="1"/>
  <c r="F401" i="1" s="1"/>
  <c r="B402" i="1"/>
  <c r="C402" i="1"/>
  <c r="D402" i="1" s="1"/>
  <c r="E402" i="1"/>
  <c r="F402" i="1" s="1"/>
  <c r="B403" i="1"/>
  <c r="C403" i="1"/>
  <c r="D403" i="1" s="1"/>
  <c r="E403" i="1"/>
  <c r="F403" i="1" s="1"/>
  <c r="B404" i="1"/>
  <c r="C404" i="1"/>
  <c r="D404" i="1" s="1"/>
  <c r="E404" i="1"/>
  <c r="F404" i="1" s="1"/>
  <c r="B405" i="1"/>
  <c r="C405" i="1"/>
  <c r="D405" i="1" s="1"/>
  <c r="E405" i="1"/>
  <c r="F405" i="1" s="1"/>
  <c r="B406" i="1"/>
  <c r="C406" i="1"/>
  <c r="D406" i="1" s="1"/>
  <c r="E406" i="1"/>
  <c r="F406" i="1" s="1"/>
  <c r="B407" i="1"/>
  <c r="C407" i="1"/>
  <c r="D407" i="1" s="1"/>
  <c r="E407" i="1"/>
  <c r="F407" i="1" s="1"/>
  <c r="B408" i="1"/>
  <c r="C408" i="1"/>
  <c r="D408" i="1" s="1"/>
  <c r="E408" i="1"/>
  <c r="F408" i="1" s="1"/>
  <c r="B409" i="1"/>
  <c r="C409" i="1"/>
  <c r="D409" i="1" s="1"/>
  <c r="E409" i="1"/>
  <c r="F409" i="1" s="1"/>
  <c r="B410" i="1"/>
  <c r="C410" i="1"/>
  <c r="D410" i="1" s="1"/>
  <c r="E410" i="1"/>
  <c r="F410" i="1" s="1"/>
  <c r="B411" i="1"/>
  <c r="C411" i="1"/>
  <c r="D411" i="1" s="1"/>
  <c r="E411" i="1"/>
  <c r="F411" i="1" s="1"/>
  <c r="B412" i="1"/>
  <c r="C412" i="1"/>
  <c r="D412" i="1" s="1"/>
  <c r="E412" i="1"/>
  <c r="F412" i="1" s="1"/>
  <c r="B413" i="1"/>
  <c r="C413" i="1"/>
  <c r="D413" i="1" s="1"/>
  <c r="E413" i="1"/>
  <c r="F413" i="1" s="1"/>
  <c r="B414" i="1"/>
  <c r="C414" i="1"/>
  <c r="D414" i="1" s="1"/>
  <c r="E414" i="1"/>
  <c r="F414" i="1" s="1"/>
  <c r="B415" i="1"/>
  <c r="C415" i="1"/>
  <c r="D415" i="1" s="1"/>
  <c r="E415" i="1"/>
  <c r="F415" i="1" s="1"/>
  <c r="B416" i="1"/>
  <c r="C416" i="1"/>
  <c r="D416" i="1" s="1"/>
  <c r="E416" i="1"/>
  <c r="F416" i="1" s="1"/>
  <c r="B417" i="1"/>
  <c r="C417" i="1"/>
  <c r="D417" i="1" s="1"/>
  <c r="E417" i="1"/>
  <c r="F417" i="1" s="1"/>
  <c r="B418" i="1"/>
  <c r="C418" i="1"/>
  <c r="D418" i="1" s="1"/>
  <c r="E418" i="1"/>
  <c r="F418" i="1" s="1"/>
  <c r="B419" i="1"/>
  <c r="C419" i="1"/>
  <c r="D419" i="1" s="1"/>
  <c r="E419" i="1"/>
  <c r="F419" i="1" s="1"/>
  <c r="B420" i="1"/>
  <c r="C420" i="1"/>
  <c r="D420" i="1" s="1"/>
  <c r="E420" i="1"/>
  <c r="F420" i="1" s="1"/>
  <c r="B421" i="1"/>
  <c r="C421" i="1"/>
  <c r="D421" i="1" s="1"/>
  <c r="E421" i="1"/>
  <c r="F421" i="1" s="1"/>
  <c r="B422" i="1"/>
  <c r="C422" i="1"/>
  <c r="D422" i="1" s="1"/>
  <c r="E422" i="1"/>
  <c r="F422" i="1" s="1"/>
  <c r="B423" i="1"/>
  <c r="C423" i="1"/>
  <c r="D423" i="1" s="1"/>
  <c r="E423" i="1"/>
  <c r="F423" i="1" s="1"/>
  <c r="B424" i="1"/>
  <c r="C424" i="1"/>
  <c r="D424" i="1" s="1"/>
  <c r="E424" i="1"/>
  <c r="F424" i="1" s="1"/>
  <c r="B425" i="1"/>
  <c r="C425" i="1"/>
  <c r="D425" i="1" s="1"/>
  <c r="E425" i="1"/>
  <c r="F425" i="1" s="1"/>
  <c r="B426" i="1"/>
  <c r="C426" i="1"/>
  <c r="D426" i="1" s="1"/>
  <c r="E426" i="1"/>
  <c r="F426" i="1" s="1"/>
  <c r="B427" i="1"/>
  <c r="C427" i="1"/>
  <c r="D427" i="1" s="1"/>
  <c r="E427" i="1"/>
  <c r="F427" i="1" s="1"/>
  <c r="B428" i="1"/>
  <c r="C428" i="1"/>
  <c r="D428" i="1" s="1"/>
  <c r="E428" i="1"/>
  <c r="F428" i="1" s="1"/>
  <c r="B429" i="1"/>
  <c r="C429" i="1"/>
  <c r="D429" i="1" s="1"/>
  <c r="E429" i="1"/>
  <c r="F429" i="1" s="1"/>
  <c r="B430" i="1"/>
  <c r="C430" i="1"/>
  <c r="D430" i="1" s="1"/>
  <c r="E430" i="1"/>
  <c r="F430" i="1" s="1"/>
  <c r="B431" i="1"/>
  <c r="C431" i="1"/>
  <c r="D431" i="1" s="1"/>
  <c r="E431" i="1"/>
  <c r="F431" i="1" s="1"/>
  <c r="B432" i="1"/>
  <c r="C432" i="1"/>
  <c r="D432" i="1" s="1"/>
  <c r="E432" i="1"/>
  <c r="F432" i="1" s="1"/>
  <c r="B433" i="1"/>
  <c r="C433" i="1"/>
  <c r="D433" i="1" s="1"/>
  <c r="E433" i="1"/>
  <c r="F433" i="1" s="1"/>
  <c r="B434" i="1"/>
  <c r="C434" i="1"/>
  <c r="D434" i="1" s="1"/>
  <c r="E434" i="1"/>
  <c r="F434" i="1" s="1"/>
  <c r="B435" i="1"/>
  <c r="C435" i="1"/>
  <c r="D435" i="1" s="1"/>
  <c r="E435" i="1"/>
  <c r="F435" i="1" s="1"/>
  <c r="B436" i="1"/>
  <c r="C436" i="1"/>
  <c r="D436" i="1" s="1"/>
  <c r="E436" i="1"/>
  <c r="F436" i="1" s="1"/>
  <c r="B437" i="1"/>
  <c r="C437" i="1"/>
  <c r="D437" i="1" s="1"/>
  <c r="E437" i="1"/>
  <c r="F437" i="1" s="1"/>
  <c r="B438" i="1"/>
  <c r="C438" i="1"/>
  <c r="D438" i="1" s="1"/>
  <c r="E438" i="1"/>
  <c r="F438" i="1" s="1"/>
  <c r="B439" i="1"/>
  <c r="C439" i="1"/>
  <c r="D439" i="1" s="1"/>
  <c r="E439" i="1"/>
  <c r="F439" i="1" s="1"/>
  <c r="B440" i="1"/>
  <c r="C440" i="1"/>
  <c r="D440" i="1" s="1"/>
  <c r="E440" i="1"/>
  <c r="F440" i="1" s="1"/>
  <c r="B441" i="1"/>
  <c r="C441" i="1"/>
  <c r="D441" i="1" s="1"/>
  <c r="E441" i="1"/>
  <c r="F441" i="1" s="1"/>
  <c r="B442" i="1"/>
  <c r="C442" i="1"/>
  <c r="D442" i="1" s="1"/>
  <c r="E442" i="1"/>
  <c r="F442" i="1" s="1"/>
  <c r="B443" i="1"/>
  <c r="C443" i="1"/>
  <c r="D443" i="1" s="1"/>
  <c r="E443" i="1"/>
  <c r="F443" i="1" s="1"/>
  <c r="B444" i="1"/>
  <c r="C444" i="1"/>
  <c r="D444" i="1" s="1"/>
  <c r="E444" i="1"/>
  <c r="F444" i="1" s="1"/>
  <c r="B445" i="1"/>
  <c r="C445" i="1"/>
  <c r="D445" i="1" s="1"/>
  <c r="E445" i="1"/>
  <c r="F445" i="1" s="1"/>
  <c r="B446" i="1"/>
  <c r="C446" i="1"/>
  <c r="D446" i="1" s="1"/>
  <c r="E446" i="1"/>
  <c r="F446" i="1" s="1"/>
  <c r="B447" i="1"/>
  <c r="C447" i="1"/>
  <c r="D447" i="1" s="1"/>
  <c r="E447" i="1"/>
  <c r="F447" i="1" s="1"/>
  <c r="B448" i="1"/>
  <c r="C448" i="1"/>
  <c r="D448" i="1" s="1"/>
  <c r="E448" i="1"/>
  <c r="F448" i="1" s="1"/>
  <c r="B449" i="1"/>
  <c r="C449" i="1"/>
  <c r="D449" i="1" s="1"/>
  <c r="E449" i="1"/>
  <c r="F449" i="1" s="1"/>
  <c r="B450" i="1"/>
  <c r="C450" i="1"/>
  <c r="D450" i="1" s="1"/>
  <c r="E450" i="1"/>
  <c r="F450" i="1" s="1"/>
  <c r="B451" i="1"/>
  <c r="C451" i="1"/>
  <c r="D451" i="1" s="1"/>
  <c r="E451" i="1"/>
  <c r="F451" i="1" s="1"/>
  <c r="B452" i="1"/>
  <c r="C452" i="1"/>
  <c r="D452" i="1" s="1"/>
  <c r="E452" i="1"/>
  <c r="F452" i="1" s="1"/>
  <c r="B453" i="1"/>
  <c r="C453" i="1"/>
  <c r="D453" i="1" s="1"/>
  <c r="E453" i="1"/>
  <c r="F453" i="1" s="1"/>
  <c r="B454" i="1"/>
  <c r="C454" i="1"/>
  <c r="D454" i="1" s="1"/>
  <c r="E454" i="1"/>
  <c r="F454" i="1" s="1"/>
  <c r="B455" i="1"/>
  <c r="C455" i="1"/>
  <c r="D455" i="1" s="1"/>
  <c r="E455" i="1"/>
  <c r="F455" i="1" s="1"/>
  <c r="B456" i="1"/>
  <c r="C456" i="1"/>
  <c r="D456" i="1" s="1"/>
  <c r="E456" i="1"/>
  <c r="F456" i="1" s="1"/>
  <c r="B457" i="1"/>
  <c r="C457" i="1"/>
  <c r="D457" i="1" s="1"/>
  <c r="E457" i="1"/>
  <c r="F457" i="1" s="1"/>
  <c r="B458" i="1"/>
  <c r="C458" i="1"/>
  <c r="D458" i="1" s="1"/>
  <c r="E458" i="1"/>
  <c r="F458" i="1" s="1"/>
  <c r="B459" i="1"/>
  <c r="C459" i="1"/>
  <c r="D459" i="1" s="1"/>
  <c r="E459" i="1"/>
  <c r="F459" i="1" s="1"/>
  <c r="B460" i="1"/>
  <c r="C460" i="1"/>
  <c r="D460" i="1" s="1"/>
  <c r="E460" i="1"/>
  <c r="F460" i="1" s="1"/>
  <c r="B461" i="1"/>
  <c r="C461" i="1"/>
  <c r="D461" i="1" s="1"/>
  <c r="E461" i="1"/>
  <c r="F461" i="1" s="1"/>
  <c r="B462" i="1"/>
  <c r="C462" i="1"/>
  <c r="D462" i="1" s="1"/>
  <c r="E462" i="1"/>
  <c r="F462" i="1" s="1"/>
  <c r="B463" i="1"/>
  <c r="C463" i="1"/>
  <c r="D463" i="1" s="1"/>
  <c r="E463" i="1"/>
  <c r="F463" i="1" s="1"/>
  <c r="B464" i="1"/>
  <c r="C464" i="1"/>
  <c r="D464" i="1" s="1"/>
  <c r="E464" i="1"/>
  <c r="F464" i="1" s="1"/>
  <c r="B465" i="1"/>
  <c r="C465" i="1"/>
  <c r="D465" i="1" s="1"/>
  <c r="E465" i="1"/>
  <c r="F465" i="1" s="1"/>
  <c r="B466" i="1"/>
  <c r="C466" i="1"/>
  <c r="D466" i="1" s="1"/>
  <c r="E466" i="1"/>
  <c r="F466" i="1" s="1"/>
  <c r="B467" i="1"/>
  <c r="C467" i="1"/>
  <c r="D467" i="1" s="1"/>
  <c r="E467" i="1"/>
  <c r="F467" i="1" s="1"/>
  <c r="B468" i="1"/>
  <c r="C468" i="1"/>
  <c r="D468" i="1" s="1"/>
  <c r="E468" i="1"/>
  <c r="F468" i="1" s="1"/>
  <c r="B469" i="1"/>
  <c r="C469" i="1"/>
  <c r="D469" i="1" s="1"/>
  <c r="E469" i="1"/>
  <c r="F469" i="1" s="1"/>
  <c r="B470" i="1"/>
  <c r="C470" i="1"/>
  <c r="D470" i="1" s="1"/>
  <c r="E470" i="1"/>
  <c r="F470" i="1" s="1"/>
  <c r="B471" i="1"/>
  <c r="C471" i="1"/>
  <c r="D471" i="1" s="1"/>
  <c r="E471" i="1"/>
  <c r="F471" i="1" s="1"/>
  <c r="B472" i="1"/>
  <c r="C472" i="1"/>
  <c r="D472" i="1" s="1"/>
  <c r="E472" i="1"/>
  <c r="F472" i="1" s="1"/>
  <c r="B473" i="1"/>
  <c r="C473" i="1"/>
  <c r="D473" i="1" s="1"/>
  <c r="E473" i="1"/>
  <c r="F473" i="1" s="1"/>
  <c r="B474" i="1"/>
  <c r="C474" i="1"/>
  <c r="D474" i="1" s="1"/>
  <c r="E474" i="1"/>
  <c r="F474" i="1" s="1"/>
  <c r="B475" i="1"/>
  <c r="C475" i="1"/>
  <c r="D475" i="1" s="1"/>
  <c r="E475" i="1"/>
  <c r="F475" i="1" s="1"/>
  <c r="B476" i="1"/>
  <c r="C476" i="1"/>
  <c r="D476" i="1" s="1"/>
  <c r="E476" i="1"/>
  <c r="F476" i="1" s="1"/>
  <c r="B477" i="1"/>
  <c r="C477" i="1"/>
  <c r="D477" i="1" s="1"/>
  <c r="E477" i="1"/>
  <c r="F477" i="1" s="1"/>
  <c r="B478" i="1"/>
  <c r="C478" i="1"/>
  <c r="D478" i="1" s="1"/>
  <c r="E478" i="1"/>
  <c r="F478" i="1" s="1"/>
  <c r="B479" i="1"/>
  <c r="C479" i="1"/>
  <c r="D479" i="1" s="1"/>
  <c r="E479" i="1"/>
  <c r="F479" i="1" s="1"/>
  <c r="B480" i="1"/>
  <c r="C480" i="1"/>
  <c r="D480" i="1" s="1"/>
  <c r="E480" i="1"/>
  <c r="F480" i="1" s="1"/>
  <c r="B481" i="1"/>
  <c r="C481" i="1"/>
  <c r="D481" i="1" s="1"/>
  <c r="E481" i="1"/>
  <c r="F481" i="1" s="1"/>
  <c r="B482" i="1"/>
  <c r="C482" i="1"/>
  <c r="D482" i="1" s="1"/>
  <c r="E482" i="1"/>
  <c r="F482" i="1" s="1"/>
  <c r="B483" i="1"/>
  <c r="C483" i="1"/>
  <c r="D483" i="1" s="1"/>
  <c r="E483" i="1"/>
  <c r="F483" i="1" s="1"/>
  <c r="B484" i="1"/>
  <c r="C484" i="1"/>
  <c r="D484" i="1" s="1"/>
  <c r="E484" i="1"/>
  <c r="F484" i="1" s="1"/>
  <c r="B485" i="1"/>
  <c r="C485" i="1"/>
  <c r="D485" i="1" s="1"/>
  <c r="E485" i="1"/>
  <c r="F485" i="1" s="1"/>
  <c r="B486" i="1"/>
  <c r="C486" i="1"/>
  <c r="D486" i="1" s="1"/>
  <c r="E486" i="1"/>
  <c r="F486" i="1" s="1"/>
  <c r="B487" i="1"/>
  <c r="C487" i="1"/>
  <c r="D487" i="1" s="1"/>
  <c r="E487" i="1"/>
  <c r="F487" i="1" s="1"/>
  <c r="B488" i="1"/>
  <c r="C488" i="1"/>
  <c r="D488" i="1" s="1"/>
  <c r="E488" i="1"/>
  <c r="F488" i="1" s="1"/>
  <c r="B489" i="1"/>
  <c r="C489" i="1"/>
  <c r="D489" i="1" s="1"/>
  <c r="E489" i="1"/>
  <c r="F489" i="1" s="1"/>
  <c r="B490" i="1"/>
  <c r="C490" i="1"/>
  <c r="D490" i="1" s="1"/>
  <c r="E490" i="1"/>
  <c r="F490" i="1" s="1"/>
  <c r="B491" i="1"/>
  <c r="C491" i="1"/>
  <c r="D491" i="1" s="1"/>
  <c r="E491" i="1"/>
  <c r="F491" i="1" s="1"/>
  <c r="B492" i="1"/>
  <c r="C492" i="1"/>
  <c r="D492" i="1" s="1"/>
  <c r="E492" i="1"/>
  <c r="F492" i="1" s="1"/>
  <c r="B493" i="1"/>
  <c r="C493" i="1"/>
  <c r="D493" i="1" s="1"/>
  <c r="E493" i="1"/>
  <c r="F493" i="1" s="1"/>
  <c r="B494" i="1"/>
  <c r="C494" i="1"/>
  <c r="D494" i="1" s="1"/>
  <c r="E494" i="1"/>
  <c r="F494" i="1" s="1"/>
  <c r="B495" i="1"/>
  <c r="C495" i="1"/>
  <c r="D495" i="1" s="1"/>
  <c r="E495" i="1"/>
  <c r="F495" i="1" s="1"/>
  <c r="B496" i="1"/>
  <c r="C496" i="1"/>
  <c r="D496" i="1" s="1"/>
  <c r="E496" i="1"/>
  <c r="F496" i="1" s="1"/>
  <c r="B497" i="1"/>
  <c r="C497" i="1"/>
  <c r="D497" i="1" s="1"/>
  <c r="E497" i="1"/>
  <c r="F497" i="1" s="1"/>
  <c r="B498" i="1"/>
  <c r="C498" i="1"/>
  <c r="D498" i="1" s="1"/>
  <c r="E498" i="1"/>
  <c r="F498" i="1" s="1"/>
  <c r="B499" i="1"/>
  <c r="C499" i="1"/>
  <c r="D499" i="1" s="1"/>
  <c r="E499" i="1"/>
  <c r="F499" i="1" s="1"/>
  <c r="B500" i="1"/>
  <c r="C500" i="1"/>
  <c r="D500" i="1" s="1"/>
  <c r="E500" i="1"/>
  <c r="F500" i="1" s="1"/>
  <c r="B318" i="1"/>
  <c r="C318" i="1"/>
  <c r="D318" i="1" s="1"/>
  <c r="E318" i="1"/>
  <c r="F318" i="1" s="1"/>
  <c r="B319" i="1"/>
  <c r="C319" i="1"/>
  <c r="D319" i="1" s="1"/>
  <c r="E319" i="1"/>
  <c r="F319" i="1" s="1"/>
  <c r="B320" i="1"/>
  <c r="C320" i="1"/>
  <c r="D320" i="1" s="1"/>
  <c r="E320" i="1"/>
  <c r="F320" i="1" s="1"/>
  <c r="B321" i="1"/>
  <c r="C321" i="1"/>
  <c r="D321" i="1" s="1"/>
  <c r="E321" i="1"/>
  <c r="F321" i="1" s="1"/>
  <c r="B322" i="1"/>
  <c r="C322" i="1"/>
  <c r="D322" i="1" s="1"/>
  <c r="E322" i="1"/>
  <c r="F322" i="1" s="1"/>
  <c r="B323" i="1"/>
  <c r="C323" i="1"/>
  <c r="D323" i="1" s="1"/>
  <c r="E323" i="1"/>
  <c r="F323" i="1" s="1"/>
  <c r="B324" i="1"/>
  <c r="C324" i="1"/>
  <c r="D324" i="1" s="1"/>
  <c r="E324" i="1"/>
  <c r="F324" i="1" s="1"/>
  <c r="B325" i="1"/>
  <c r="C325" i="1"/>
  <c r="D325" i="1" s="1"/>
  <c r="E325" i="1"/>
  <c r="F325" i="1" s="1"/>
  <c r="B326" i="1"/>
  <c r="C326" i="1"/>
  <c r="D326" i="1" s="1"/>
  <c r="E326" i="1"/>
  <c r="F326" i="1" s="1"/>
  <c r="B327" i="1"/>
  <c r="C327" i="1"/>
  <c r="D327" i="1" s="1"/>
  <c r="E327" i="1"/>
  <c r="F327" i="1" s="1"/>
  <c r="B328" i="1"/>
  <c r="C328" i="1"/>
  <c r="D328" i="1" s="1"/>
  <c r="E328" i="1"/>
  <c r="F328" i="1" s="1"/>
  <c r="B329" i="1"/>
  <c r="C329" i="1"/>
  <c r="D329" i="1" s="1"/>
  <c r="E329" i="1"/>
  <c r="F329" i="1" s="1"/>
  <c r="B330" i="1"/>
  <c r="C330" i="1"/>
  <c r="D330" i="1" s="1"/>
  <c r="E330" i="1"/>
  <c r="F330" i="1" s="1"/>
  <c r="B331" i="1"/>
  <c r="C331" i="1"/>
  <c r="D331" i="1" s="1"/>
  <c r="E331" i="1"/>
  <c r="F331" i="1" s="1"/>
  <c r="B332" i="1"/>
  <c r="C332" i="1"/>
  <c r="D332" i="1" s="1"/>
  <c r="E332" i="1"/>
  <c r="F332" i="1" s="1"/>
  <c r="B333" i="1"/>
  <c r="C333" i="1"/>
  <c r="D333" i="1" s="1"/>
  <c r="E333" i="1"/>
  <c r="F333" i="1" s="1"/>
  <c r="B334" i="1"/>
  <c r="C334" i="1"/>
  <c r="D334" i="1" s="1"/>
  <c r="E334" i="1"/>
  <c r="F334" i="1" s="1"/>
  <c r="B335" i="1"/>
  <c r="C335" i="1"/>
  <c r="D335" i="1" s="1"/>
  <c r="E335" i="1"/>
  <c r="F335" i="1" s="1"/>
  <c r="B336" i="1"/>
  <c r="C336" i="1"/>
  <c r="D336" i="1" s="1"/>
  <c r="E336" i="1"/>
  <c r="F336" i="1" s="1"/>
  <c r="B337" i="1"/>
  <c r="C337" i="1"/>
  <c r="D337" i="1" s="1"/>
  <c r="E337" i="1"/>
  <c r="F337" i="1" s="1"/>
  <c r="B338" i="1"/>
  <c r="C338" i="1"/>
  <c r="D338" i="1" s="1"/>
  <c r="E338" i="1"/>
  <c r="F338" i="1" s="1"/>
  <c r="B339" i="1"/>
  <c r="C339" i="1"/>
  <c r="D339" i="1" s="1"/>
  <c r="E339" i="1"/>
  <c r="F339" i="1" s="1"/>
  <c r="B340" i="1"/>
  <c r="C340" i="1"/>
  <c r="D340" i="1" s="1"/>
  <c r="E340" i="1"/>
  <c r="F340" i="1" s="1"/>
  <c r="B341" i="1"/>
  <c r="C341" i="1"/>
  <c r="D341" i="1" s="1"/>
  <c r="E341" i="1"/>
  <c r="F341" i="1" s="1"/>
  <c r="B342" i="1"/>
  <c r="C342" i="1"/>
  <c r="D342" i="1" s="1"/>
  <c r="E342" i="1"/>
  <c r="F342" i="1" s="1"/>
  <c r="B343" i="1"/>
  <c r="C343" i="1"/>
  <c r="D343" i="1" s="1"/>
  <c r="E343" i="1"/>
  <c r="F343" i="1" s="1"/>
  <c r="B344" i="1"/>
  <c r="C344" i="1"/>
  <c r="D344" i="1" s="1"/>
  <c r="E344" i="1"/>
  <c r="F344" i="1" s="1"/>
  <c r="B345" i="1"/>
  <c r="C345" i="1"/>
  <c r="D345" i="1" s="1"/>
  <c r="E345" i="1"/>
  <c r="F345" i="1" s="1"/>
  <c r="B346" i="1"/>
  <c r="C346" i="1"/>
  <c r="D346" i="1" s="1"/>
  <c r="E346" i="1"/>
  <c r="F346" i="1" s="1"/>
  <c r="B347" i="1"/>
  <c r="C347" i="1"/>
  <c r="D347" i="1" s="1"/>
  <c r="E347" i="1"/>
  <c r="F347" i="1" s="1"/>
  <c r="B348" i="1"/>
  <c r="C348" i="1"/>
  <c r="D348" i="1" s="1"/>
  <c r="E348" i="1"/>
  <c r="F348" i="1" s="1"/>
  <c r="B349" i="1"/>
  <c r="C349" i="1"/>
  <c r="D349" i="1" s="1"/>
  <c r="E349" i="1"/>
  <c r="F349" i="1" s="1"/>
  <c r="B350" i="1"/>
  <c r="C350" i="1"/>
  <c r="D350" i="1" s="1"/>
  <c r="E350" i="1"/>
  <c r="F350" i="1" s="1"/>
  <c r="B351" i="1"/>
  <c r="C351" i="1"/>
  <c r="D351" i="1" s="1"/>
  <c r="E351" i="1"/>
  <c r="F351" i="1" s="1"/>
  <c r="B352" i="1"/>
  <c r="C352" i="1"/>
  <c r="D352" i="1" s="1"/>
  <c r="E352" i="1"/>
  <c r="F352" i="1" s="1"/>
  <c r="B353" i="1"/>
  <c r="C353" i="1"/>
  <c r="D353" i="1" s="1"/>
  <c r="E353" i="1"/>
  <c r="F353" i="1" s="1"/>
  <c r="B15" i="1"/>
  <c r="C15" i="1"/>
  <c r="D15" i="1" s="1"/>
  <c r="E15" i="1"/>
  <c r="F15" i="1" s="1"/>
  <c r="B16" i="1"/>
  <c r="C16" i="1"/>
  <c r="D16" i="1" s="1"/>
  <c r="E16" i="1"/>
  <c r="F16" i="1" s="1"/>
  <c r="B17" i="1"/>
  <c r="C17" i="1"/>
  <c r="D17" i="1" s="1"/>
  <c r="E17" i="1"/>
  <c r="F17" i="1" s="1"/>
  <c r="B18" i="1"/>
  <c r="C18" i="1"/>
  <c r="D18" i="1" s="1"/>
  <c r="E18" i="1"/>
  <c r="F18" i="1" s="1"/>
  <c r="B19" i="1"/>
  <c r="C19" i="1"/>
  <c r="D19" i="1" s="1"/>
  <c r="E19" i="1"/>
  <c r="F19" i="1" s="1"/>
  <c r="B20" i="1"/>
  <c r="C20" i="1"/>
  <c r="D20" i="1" s="1"/>
  <c r="E20" i="1"/>
  <c r="F20" i="1" s="1"/>
  <c r="B21" i="1"/>
  <c r="C21" i="1"/>
  <c r="D21" i="1" s="1"/>
  <c r="E21" i="1"/>
  <c r="F21" i="1" s="1"/>
  <c r="B22" i="1"/>
  <c r="C22" i="1"/>
  <c r="D22" i="1" s="1"/>
  <c r="E22" i="1"/>
  <c r="F22" i="1" s="1"/>
  <c r="B23" i="1"/>
  <c r="C23" i="1"/>
  <c r="D23" i="1" s="1"/>
  <c r="E23" i="1"/>
  <c r="F23" i="1" s="1"/>
  <c r="B24" i="1"/>
  <c r="C24" i="1"/>
  <c r="D24" i="1" s="1"/>
  <c r="E24" i="1"/>
  <c r="F24" i="1" s="1"/>
  <c r="B25" i="1"/>
  <c r="C25" i="1"/>
  <c r="D25" i="1" s="1"/>
  <c r="E25" i="1"/>
  <c r="F25" i="1" s="1"/>
  <c r="B26" i="1"/>
  <c r="C26" i="1"/>
  <c r="D26" i="1" s="1"/>
  <c r="E26" i="1"/>
  <c r="F26" i="1" s="1"/>
  <c r="B27" i="1"/>
  <c r="C27" i="1"/>
  <c r="D27" i="1" s="1"/>
  <c r="E27" i="1"/>
  <c r="F27" i="1" s="1"/>
  <c r="B28" i="1"/>
  <c r="C28" i="1"/>
  <c r="D28" i="1" s="1"/>
  <c r="E28" i="1"/>
  <c r="F28" i="1" s="1"/>
  <c r="B29" i="1"/>
  <c r="C29" i="1"/>
  <c r="D29" i="1" s="1"/>
  <c r="E29" i="1"/>
  <c r="F29" i="1" s="1"/>
  <c r="B30" i="1"/>
  <c r="C30" i="1"/>
  <c r="D30" i="1" s="1"/>
  <c r="E30" i="1"/>
  <c r="F30" i="1" s="1"/>
  <c r="B31" i="1"/>
  <c r="C31" i="1"/>
  <c r="D31" i="1" s="1"/>
  <c r="E31" i="1"/>
  <c r="F31" i="1" s="1"/>
  <c r="B32" i="1"/>
  <c r="C32" i="1"/>
  <c r="D32" i="1" s="1"/>
  <c r="E32" i="1"/>
  <c r="F32" i="1" s="1"/>
  <c r="B33" i="1"/>
  <c r="C33" i="1"/>
  <c r="D33" i="1" s="1"/>
  <c r="E33" i="1"/>
  <c r="F33" i="1" s="1"/>
  <c r="B34" i="1"/>
  <c r="C34" i="1"/>
  <c r="D34" i="1" s="1"/>
  <c r="E34" i="1"/>
  <c r="F34" i="1" s="1"/>
  <c r="B35" i="1"/>
  <c r="C35" i="1"/>
  <c r="D35" i="1" s="1"/>
  <c r="E35" i="1"/>
  <c r="F35" i="1" s="1"/>
  <c r="B36" i="1"/>
  <c r="C36" i="1"/>
  <c r="D36" i="1" s="1"/>
  <c r="E36" i="1"/>
  <c r="F36" i="1" s="1"/>
  <c r="B37" i="1"/>
  <c r="C37" i="1"/>
  <c r="D37" i="1" s="1"/>
  <c r="E37" i="1"/>
  <c r="F37" i="1" s="1"/>
  <c r="B38" i="1"/>
  <c r="C38" i="1"/>
  <c r="D38" i="1" s="1"/>
  <c r="E38" i="1"/>
  <c r="F38" i="1" s="1"/>
  <c r="B39" i="1"/>
  <c r="C39" i="1"/>
  <c r="D39" i="1" s="1"/>
  <c r="E39" i="1"/>
  <c r="F39" i="1" s="1"/>
  <c r="B40" i="1"/>
  <c r="C40" i="1"/>
  <c r="D40" i="1" s="1"/>
  <c r="E40" i="1"/>
  <c r="F40" i="1" s="1"/>
  <c r="B41" i="1"/>
  <c r="C41" i="1"/>
  <c r="D41" i="1" s="1"/>
  <c r="E41" i="1"/>
  <c r="F41" i="1" s="1"/>
  <c r="B42" i="1"/>
  <c r="C42" i="1"/>
  <c r="D42" i="1" s="1"/>
  <c r="E42" i="1"/>
  <c r="F42" i="1" s="1"/>
  <c r="B43" i="1"/>
  <c r="C43" i="1"/>
  <c r="D43" i="1" s="1"/>
  <c r="E43" i="1"/>
  <c r="F43" i="1" s="1"/>
  <c r="B44" i="1"/>
  <c r="C44" i="1"/>
  <c r="D44" i="1" s="1"/>
  <c r="E44" i="1"/>
  <c r="F44" i="1" s="1"/>
  <c r="B45" i="1"/>
  <c r="C45" i="1"/>
  <c r="D45" i="1" s="1"/>
  <c r="E45" i="1"/>
  <c r="F45" i="1" s="1"/>
  <c r="B46" i="1"/>
  <c r="C46" i="1"/>
  <c r="D46" i="1" s="1"/>
  <c r="E46" i="1"/>
  <c r="F46" i="1" s="1"/>
  <c r="B47" i="1"/>
  <c r="C47" i="1"/>
  <c r="D47" i="1" s="1"/>
  <c r="E47" i="1"/>
  <c r="F47" i="1" s="1"/>
  <c r="B48" i="1"/>
  <c r="C48" i="1"/>
  <c r="D48" i="1" s="1"/>
  <c r="E48" i="1"/>
  <c r="F48" i="1" s="1"/>
  <c r="B49" i="1"/>
  <c r="C49" i="1"/>
  <c r="D49" i="1" s="1"/>
  <c r="E49" i="1"/>
  <c r="F49" i="1" s="1"/>
  <c r="B50" i="1"/>
  <c r="C50" i="1"/>
  <c r="D50" i="1" s="1"/>
  <c r="E50" i="1"/>
  <c r="F50" i="1" s="1"/>
  <c r="B51" i="1"/>
  <c r="C51" i="1"/>
  <c r="D51" i="1" s="1"/>
  <c r="E51" i="1"/>
  <c r="F51" i="1" s="1"/>
  <c r="B52" i="1"/>
  <c r="C52" i="1"/>
  <c r="D52" i="1" s="1"/>
  <c r="E52" i="1"/>
  <c r="F52" i="1" s="1"/>
  <c r="B53" i="1"/>
  <c r="C53" i="1"/>
  <c r="D53" i="1" s="1"/>
  <c r="E53" i="1"/>
  <c r="F53" i="1" s="1"/>
  <c r="B54" i="1"/>
  <c r="C54" i="1"/>
  <c r="D54" i="1" s="1"/>
  <c r="E54" i="1"/>
  <c r="F54" i="1" s="1"/>
  <c r="B55" i="1"/>
  <c r="C55" i="1"/>
  <c r="D55" i="1" s="1"/>
  <c r="E55" i="1"/>
  <c r="F55" i="1" s="1"/>
  <c r="B56" i="1"/>
  <c r="C56" i="1"/>
  <c r="D56" i="1" s="1"/>
  <c r="E56" i="1"/>
  <c r="F56" i="1" s="1"/>
  <c r="B57" i="1"/>
  <c r="C57" i="1"/>
  <c r="D57" i="1" s="1"/>
  <c r="E57" i="1"/>
  <c r="F57" i="1" s="1"/>
  <c r="B58" i="1"/>
  <c r="C58" i="1"/>
  <c r="D58" i="1" s="1"/>
  <c r="E58" i="1"/>
  <c r="F58" i="1" s="1"/>
  <c r="B59" i="1"/>
  <c r="C59" i="1"/>
  <c r="D59" i="1" s="1"/>
  <c r="E59" i="1"/>
  <c r="F59" i="1" s="1"/>
  <c r="B60" i="1"/>
  <c r="C60" i="1"/>
  <c r="D60" i="1" s="1"/>
  <c r="E60" i="1"/>
  <c r="F60" i="1" s="1"/>
  <c r="B61" i="1"/>
  <c r="C61" i="1"/>
  <c r="D61" i="1" s="1"/>
  <c r="E61" i="1"/>
  <c r="F61" i="1" s="1"/>
  <c r="B62" i="1"/>
  <c r="C62" i="1"/>
  <c r="D62" i="1" s="1"/>
  <c r="E62" i="1"/>
  <c r="F62" i="1" s="1"/>
  <c r="B63" i="1"/>
  <c r="C63" i="1"/>
  <c r="D63" i="1" s="1"/>
  <c r="E63" i="1"/>
  <c r="F63" i="1" s="1"/>
  <c r="B64" i="1"/>
  <c r="C64" i="1"/>
  <c r="D64" i="1" s="1"/>
  <c r="E64" i="1"/>
  <c r="F64" i="1" s="1"/>
  <c r="B65" i="1"/>
  <c r="C65" i="1"/>
  <c r="D65" i="1" s="1"/>
  <c r="E65" i="1"/>
  <c r="F65" i="1" s="1"/>
  <c r="B66" i="1"/>
  <c r="C66" i="1"/>
  <c r="D66" i="1" s="1"/>
  <c r="E66" i="1"/>
  <c r="F66" i="1" s="1"/>
  <c r="B67" i="1"/>
  <c r="C67" i="1"/>
  <c r="D67" i="1" s="1"/>
  <c r="E67" i="1"/>
  <c r="F67" i="1" s="1"/>
  <c r="B68" i="1"/>
  <c r="C68" i="1"/>
  <c r="D68" i="1" s="1"/>
  <c r="E68" i="1"/>
  <c r="F68" i="1" s="1"/>
  <c r="B69" i="1"/>
  <c r="C69" i="1"/>
  <c r="D69" i="1" s="1"/>
  <c r="E69" i="1"/>
  <c r="F69" i="1" s="1"/>
  <c r="B70" i="1"/>
  <c r="C70" i="1"/>
  <c r="D70" i="1" s="1"/>
  <c r="E70" i="1"/>
  <c r="F70" i="1" s="1"/>
  <c r="B71" i="1"/>
  <c r="C71" i="1"/>
  <c r="D71" i="1" s="1"/>
  <c r="E71" i="1"/>
  <c r="F71" i="1" s="1"/>
  <c r="B72" i="1"/>
  <c r="C72" i="1"/>
  <c r="D72" i="1" s="1"/>
  <c r="E72" i="1"/>
  <c r="F72" i="1" s="1"/>
  <c r="B73" i="1"/>
  <c r="C73" i="1"/>
  <c r="D73" i="1" s="1"/>
  <c r="E73" i="1"/>
  <c r="F73" i="1" s="1"/>
  <c r="B74" i="1"/>
  <c r="C74" i="1"/>
  <c r="D74" i="1" s="1"/>
  <c r="E74" i="1"/>
  <c r="F74" i="1" s="1"/>
  <c r="B75" i="1"/>
  <c r="C75" i="1"/>
  <c r="D75" i="1" s="1"/>
  <c r="E75" i="1"/>
  <c r="F75" i="1" s="1"/>
  <c r="B76" i="1"/>
  <c r="C76" i="1"/>
  <c r="D76" i="1" s="1"/>
  <c r="E76" i="1"/>
  <c r="F76" i="1" s="1"/>
  <c r="B77" i="1"/>
  <c r="C77" i="1"/>
  <c r="D77" i="1" s="1"/>
  <c r="E77" i="1"/>
  <c r="F77" i="1" s="1"/>
  <c r="B78" i="1"/>
  <c r="C78" i="1"/>
  <c r="D78" i="1" s="1"/>
  <c r="E78" i="1"/>
  <c r="F78" i="1" s="1"/>
  <c r="B79" i="1"/>
  <c r="C79" i="1"/>
  <c r="D79" i="1" s="1"/>
  <c r="E79" i="1"/>
  <c r="F79" i="1" s="1"/>
  <c r="B80" i="1"/>
  <c r="C80" i="1"/>
  <c r="D80" i="1" s="1"/>
  <c r="E80" i="1"/>
  <c r="F80" i="1" s="1"/>
  <c r="B81" i="1"/>
  <c r="C81" i="1"/>
  <c r="D81" i="1" s="1"/>
  <c r="E81" i="1"/>
  <c r="F81" i="1" s="1"/>
  <c r="B82" i="1"/>
  <c r="C82" i="1"/>
  <c r="D82" i="1" s="1"/>
  <c r="E82" i="1"/>
  <c r="F82" i="1" s="1"/>
  <c r="B83" i="1"/>
  <c r="C83" i="1"/>
  <c r="D83" i="1" s="1"/>
  <c r="E83" i="1"/>
  <c r="F83" i="1" s="1"/>
  <c r="B84" i="1"/>
  <c r="C84" i="1"/>
  <c r="D84" i="1" s="1"/>
  <c r="E84" i="1"/>
  <c r="F84" i="1" s="1"/>
  <c r="B85" i="1"/>
  <c r="C85" i="1"/>
  <c r="D85" i="1" s="1"/>
  <c r="E85" i="1"/>
  <c r="F85" i="1" s="1"/>
  <c r="B86" i="1"/>
  <c r="C86" i="1"/>
  <c r="D86" i="1" s="1"/>
  <c r="E86" i="1"/>
  <c r="F86" i="1" s="1"/>
  <c r="B87" i="1"/>
  <c r="C87" i="1"/>
  <c r="D87" i="1" s="1"/>
  <c r="E87" i="1"/>
  <c r="F87" i="1" s="1"/>
  <c r="B88" i="1"/>
  <c r="C88" i="1"/>
  <c r="D88" i="1" s="1"/>
  <c r="E88" i="1"/>
  <c r="F88" i="1" s="1"/>
  <c r="B89" i="1"/>
  <c r="C89" i="1"/>
  <c r="D89" i="1" s="1"/>
  <c r="E89" i="1"/>
  <c r="F89" i="1" s="1"/>
  <c r="B90" i="1"/>
  <c r="C90" i="1"/>
  <c r="D90" i="1" s="1"/>
  <c r="E90" i="1"/>
  <c r="F90" i="1" s="1"/>
  <c r="B91" i="1"/>
  <c r="C91" i="1"/>
  <c r="D91" i="1" s="1"/>
  <c r="E91" i="1"/>
  <c r="F91" i="1" s="1"/>
  <c r="B92" i="1"/>
  <c r="C92" i="1"/>
  <c r="D92" i="1" s="1"/>
  <c r="E92" i="1"/>
  <c r="F92" i="1" s="1"/>
  <c r="B93" i="1"/>
  <c r="C93" i="1"/>
  <c r="D93" i="1" s="1"/>
  <c r="E93" i="1"/>
  <c r="F93" i="1" s="1"/>
  <c r="B94" i="1"/>
  <c r="C94" i="1"/>
  <c r="D94" i="1" s="1"/>
  <c r="E94" i="1"/>
  <c r="F94" i="1" s="1"/>
  <c r="B95" i="1"/>
  <c r="C95" i="1"/>
  <c r="D95" i="1" s="1"/>
  <c r="E95" i="1"/>
  <c r="F95" i="1" s="1"/>
  <c r="B96" i="1"/>
  <c r="C96" i="1"/>
  <c r="D96" i="1" s="1"/>
  <c r="E96" i="1"/>
  <c r="F96" i="1" s="1"/>
  <c r="B97" i="1"/>
  <c r="C97" i="1"/>
  <c r="D97" i="1" s="1"/>
  <c r="E97" i="1"/>
  <c r="F97" i="1" s="1"/>
  <c r="B98" i="1"/>
  <c r="C98" i="1"/>
  <c r="D98" i="1" s="1"/>
  <c r="E98" i="1"/>
  <c r="F98" i="1" s="1"/>
  <c r="B99" i="1"/>
  <c r="C99" i="1"/>
  <c r="D99" i="1" s="1"/>
  <c r="E99" i="1"/>
  <c r="F99" i="1" s="1"/>
  <c r="B100" i="1"/>
  <c r="C100" i="1"/>
  <c r="D100" i="1" s="1"/>
  <c r="E100" i="1"/>
  <c r="F100" i="1" s="1"/>
  <c r="B101" i="1"/>
  <c r="C101" i="1"/>
  <c r="D101" i="1" s="1"/>
  <c r="E101" i="1"/>
  <c r="F101" i="1" s="1"/>
  <c r="B102" i="1"/>
  <c r="C102" i="1"/>
  <c r="D102" i="1" s="1"/>
  <c r="E102" i="1"/>
  <c r="F102" i="1" s="1"/>
  <c r="B103" i="1"/>
  <c r="C103" i="1"/>
  <c r="D103" i="1" s="1"/>
  <c r="E103" i="1"/>
  <c r="F103" i="1" s="1"/>
  <c r="B104" i="1"/>
  <c r="C104" i="1"/>
  <c r="D104" i="1" s="1"/>
  <c r="E104" i="1"/>
  <c r="F104" i="1" s="1"/>
  <c r="B105" i="1"/>
  <c r="C105" i="1"/>
  <c r="D105" i="1" s="1"/>
  <c r="E105" i="1"/>
  <c r="F105" i="1" s="1"/>
  <c r="B106" i="1"/>
  <c r="C106" i="1"/>
  <c r="D106" i="1" s="1"/>
  <c r="E106" i="1"/>
  <c r="F106" i="1" s="1"/>
  <c r="B107" i="1"/>
  <c r="C107" i="1"/>
  <c r="D107" i="1" s="1"/>
  <c r="E107" i="1"/>
  <c r="F107" i="1" s="1"/>
  <c r="B108" i="1"/>
  <c r="C108" i="1"/>
  <c r="D108" i="1" s="1"/>
  <c r="E108" i="1"/>
  <c r="F108" i="1" s="1"/>
  <c r="B109" i="1"/>
  <c r="C109" i="1"/>
  <c r="D109" i="1" s="1"/>
  <c r="E109" i="1"/>
  <c r="F109" i="1" s="1"/>
  <c r="B110" i="1"/>
  <c r="C110" i="1"/>
  <c r="D110" i="1" s="1"/>
  <c r="E110" i="1"/>
  <c r="F110" i="1" s="1"/>
  <c r="B111" i="1"/>
  <c r="C111" i="1"/>
  <c r="D111" i="1" s="1"/>
  <c r="E111" i="1"/>
  <c r="F111" i="1" s="1"/>
  <c r="B112" i="1"/>
  <c r="C112" i="1"/>
  <c r="D112" i="1" s="1"/>
  <c r="E112" i="1"/>
  <c r="F112" i="1" s="1"/>
  <c r="B113" i="1"/>
  <c r="C113" i="1"/>
  <c r="D113" i="1" s="1"/>
  <c r="E113" i="1"/>
  <c r="F113" i="1" s="1"/>
  <c r="B114" i="1"/>
  <c r="C114" i="1"/>
  <c r="D114" i="1" s="1"/>
  <c r="E114" i="1"/>
  <c r="F114" i="1" s="1"/>
  <c r="B115" i="1"/>
  <c r="C115" i="1"/>
  <c r="D115" i="1" s="1"/>
  <c r="E115" i="1"/>
  <c r="F115" i="1" s="1"/>
  <c r="B116" i="1"/>
  <c r="C116" i="1"/>
  <c r="D116" i="1" s="1"/>
  <c r="E116" i="1"/>
  <c r="F116" i="1" s="1"/>
  <c r="B117" i="1"/>
  <c r="C117" i="1"/>
  <c r="D117" i="1" s="1"/>
  <c r="E117" i="1"/>
  <c r="F117" i="1" s="1"/>
  <c r="B118" i="1"/>
  <c r="C118" i="1"/>
  <c r="D118" i="1" s="1"/>
  <c r="E118" i="1"/>
  <c r="F118" i="1" s="1"/>
  <c r="B119" i="1"/>
  <c r="C119" i="1"/>
  <c r="D119" i="1" s="1"/>
  <c r="E119" i="1"/>
  <c r="F119" i="1" s="1"/>
  <c r="B120" i="1"/>
  <c r="C120" i="1"/>
  <c r="D120" i="1" s="1"/>
  <c r="E120" i="1"/>
  <c r="F120" i="1" s="1"/>
  <c r="B121" i="1"/>
  <c r="C121" i="1"/>
  <c r="D121" i="1" s="1"/>
  <c r="E121" i="1"/>
  <c r="F121" i="1" s="1"/>
  <c r="B122" i="1"/>
  <c r="C122" i="1"/>
  <c r="D122" i="1" s="1"/>
  <c r="E122" i="1"/>
  <c r="F122" i="1" s="1"/>
  <c r="B123" i="1"/>
  <c r="C123" i="1"/>
  <c r="D123" i="1" s="1"/>
  <c r="E123" i="1"/>
  <c r="F123" i="1" s="1"/>
  <c r="B124" i="1"/>
  <c r="C124" i="1"/>
  <c r="D124" i="1" s="1"/>
  <c r="E124" i="1"/>
  <c r="F124" i="1" s="1"/>
  <c r="B125" i="1"/>
  <c r="C125" i="1"/>
  <c r="D125" i="1" s="1"/>
  <c r="E125" i="1"/>
  <c r="F125" i="1" s="1"/>
  <c r="B126" i="1"/>
  <c r="C126" i="1"/>
  <c r="D126" i="1" s="1"/>
  <c r="E126" i="1"/>
  <c r="F126" i="1" s="1"/>
  <c r="B127" i="1"/>
  <c r="C127" i="1"/>
  <c r="D127" i="1" s="1"/>
  <c r="E127" i="1"/>
  <c r="F127" i="1" s="1"/>
  <c r="B128" i="1"/>
  <c r="C128" i="1"/>
  <c r="D128" i="1" s="1"/>
  <c r="E128" i="1"/>
  <c r="F128" i="1" s="1"/>
  <c r="B129" i="1"/>
  <c r="C129" i="1"/>
  <c r="D129" i="1" s="1"/>
  <c r="E129" i="1"/>
  <c r="F129" i="1" s="1"/>
  <c r="B130" i="1"/>
  <c r="C130" i="1"/>
  <c r="D130" i="1" s="1"/>
  <c r="E130" i="1"/>
  <c r="F130" i="1" s="1"/>
  <c r="B131" i="1"/>
  <c r="C131" i="1"/>
  <c r="D131" i="1" s="1"/>
  <c r="E131" i="1"/>
  <c r="F131" i="1" s="1"/>
  <c r="B132" i="1"/>
  <c r="C132" i="1"/>
  <c r="D132" i="1" s="1"/>
  <c r="E132" i="1"/>
  <c r="F132" i="1" s="1"/>
  <c r="B133" i="1"/>
  <c r="C133" i="1"/>
  <c r="D133" i="1" s="1"/>
  <c r="E133" i="1"/>
  <c r="F133" i="1" s="1"/>
  <c r="B134" i="1"/>
  <c r="C134" i="1"/>
  <c r="D134" i="1" s="1"/>
  <c r="E134" i="1"/>
  <c r="F134" i="1" s="1"/>
  <c r="B135" i="1"/>
  <c r="C135" i="1"/>
  <c r="D135" i="1" s="1"/>
  <c r="E135" i="1"/>
  <c r="F135" i="1" s="1"/>
  <c r="B136" i="1"/>
  <c r="C136" i="1"/>
  <c r="D136" i="1" s="1"/>
  <c r="E136" i="1"/>
  <c r="F136" i="1" s="1"/>
  <c r="B137" i="1"/>
  <c r="C137" i="1"/>
  <c r="D137" i="1" s="1"/>
  <c r="E137" i="1"/>
  <c r="F137" i="1" s="1"/>
  <c r="B138" i="1"/>
  <c r="C138" i="1"/>
  <c r="D138" i="1" s="1"/>
  <c r="E138" i="1"/>
  <c r="F138" i="1" s="1"/>
  <c r="B139" i="1"/>
  <c r="C139" i="1"/>
  <c r="D139" i="1" s="1"/>
  <c r="E139" i="1"/>
  <c r="F139" i="1" s="1"/>
  <c r="B140" i="1"/>
  <c r="C140" i="1"/>
  <c r="D140" i="1" s="1"/>
  <c r="E140" i="1"/>
  <c r="F140" i="1" s="1"/>
  <c r="B141" i="1"/>
  <c r="C141" i="1"/>
  <c r="D141" i="1" s="1"/>
  <c r="E141" i="1"/>
  <c r="F141" i="1" s="1"/>
  <c r="B142" i="1"/>
  <c r="C142" i="1"/>
  <c r="D142" i="1" s="1"/>
  <c r="E142" i="1"/>
  <c r="F142" i="1" s="1"/>
  <c r="B143" i="1"/>
  <c r="C143" i="1"/>
  <c r="D143" i="1" s="1"/>
  <c r="E143" i="1"/>
  <c r="F143" i="1" s="1"/>
  <c r="B144" i="1"/>
  <c r="C144" i="1"/>
  <c r="D144" i="1" s="1"/>
  <c r="E144" i="1"/>
  <c r="F144" i="1" s="1"/>
  <c r="B145" i="1"/>
  <c r="C145" i="1"/>
  <c r="D145" i="1" s="1"/>
  <c r="E145" i="1"/>
  <c r="F145" i="1" s="1"/>
  <c r="B146" i="1"/>
  <c r="C146" i="1"/>
  <c r="D146" i="1" s="1"/>
  <c r="E146" i="1"/>
  <c r="F146" i="1" s="1"/>
  <c r="B147" i="1"/>
  <c r="C147" i="1"/>
  <c r="D147" i="1" s="1"/>
  <c r="E147" i="1"/>
  <c r="F147" i="1" s="1"/>
  <c r="B148" i="1"/>
  <c r="C148" i="1"/>
  <c r="D148" i="1" s="1"/>
  <c r="E148" i="1"/>
  <c r="F148" i="1" s="1"/>
  <c r="B149" i="1"/>
  <c r="C149" i="1"/>
  <c r="D149" i="1" s="1"/>
  <c r="E149" i="1"/>
  <c r="F149" i="1" s="1"/>
  <c r="B150" i="1"/>
  <c r="C150" i="1"/>
  <c r="D150" i="1" s="1"/>
  <c r="E150" i="1"/>
  <c r="F150" i="1" s="1"/>
  <c r="B151" i="1"/>
  <c r="C151" i="1"/>
  <c r="D151" i="1" s="1"/>
  <c r="E151" i="1"/>
  <c r="F151" i="1" s="1"/>
  <c r="B152" i="1"/>
  <c r="C152" i="1"/>
  <c r="D152" i="1" s="1"/>
  <c r="E152" i="1"/>
  <c r="F152" i="1" s="1"/>
  <c r="B153" i="1"/>
  <c r="C153" i="1"/>
  <c r="D153" i="1" s="1"/>
  <c r="E153" i="1"/>
  <c r="F153" i="1" s="1"/>
  <c r="B154" i="1"/>
  <c r="C154" i="1"/>
  <c r="D154" i="1" s="1"/>
  <c r="E154" i="1"/>
  <c r="F154" i="1" s="1"/>
  <c r="B155" i="1"/>
  <c r="C155" i="1"/>
  <c r="D155" i="1" s="1"/>
  <c r="E155" i="1"/>
  <c r="F155" i="1" s="1"/>
  <c r="B156" i="1"/>
  <c r="C156" i="1"/>
  <c r="D156" i="1" s="1"/>
  <c r="E156" i="1"/>
  <c r="F156" i="1" s="1"/>
  <c r="B157" i="1"/>
  <c r="C157" i="1"/>
  <c r="D157" i="1" s="1"/>
  <c r="E157" i="1"/>
  <c r="F157" i="1" s="1"/>
  <c r="B158" i="1"/>
  <c r="C158" i="1"/>
  <c r="D158" i="1" s="1"/>
  <c r="E158" i="1"/>
  <c r="F158" i="1" s="1"/>
  <c r="B159" i="1"/>
  <c r="C159" i="1"/>
  <c r="D159" i="1" s="1"/>
  <c r="E159" i="1"/>
  <c r="F159" i="1" s="1"/>
  <c r="B160" i="1"/>
  <c r="C160" i="1"/>
  <c r="D160" i="1" s="1"/>
  <c r="E160" i="1"/>
  <c r="F160" i="1" s="1"/>
  <c r="B161" i="1"/>
  <c r="C161" i="1"/>
  <c r="D161" i="1" s="1"/>
  <c r="E161" i="1"/>
  <c r="F161" i="1" s="1"/>
  <c r="B162" i="1"/>
  <c r="C162" i="1"/>
  <c r="D162" i="1" s="1"/>
  <c r="E162" i="1"/>
  <c r="F162" i="1" s="1"/>
  <c r="B163" i="1"/>
  <c r="C163" i="1"/>
  <c r="D163" i="1" s="1"/>
  <c r="E163" i="1"/>
  <c r="F163" i="1" s="1"/>
  <c r="B164" i="1"/>
  <c r="C164" i="1"/>
  <c r="D164" i="1" s="1"/>
  <c r="E164" i="1"/>
  <c r="F164" i="1" s="1"/>
  <c r="B165" i="1"/>
  <c r="C165" i="1"/>
  <c r="D165" i="1" s="1"/>
  <c r="E165" i="1"/>
  <c r="F165" i="1" s="1"/>
  <c r="B166" i="1"/>
  <c r="C166" i="1"/>
  <c r="D166" i="1" s="1"/>
  <c r="E166" i="1"/>
  <c r="F166" i="1" s="1"/>
  <c r="B167" i="1"/>
  <c r="C167" i="1"/>
  <c r="D167" i="1" s="1"/>
  <c r="E167" i="1"/>
  <c r="F167" i="1" s="1"/>
  <c r="B168" i="1"/>
  <c r="C168" i="1"/>
  <c r="D168" i="1" s="1"/>
  <c r="E168" i="1"/>
  <c r="F168" i="1" s="1"/>
  <c r="B169" i="1"/>
  <c r="C169" i="1"/>
  <c r="D169" i="1" s="1"/>
  <c r="E169" i="1"/>
  <c r="F169" i="1" s="1"/>
  <c r="B170" i="1"/>
  <c r="C170" i="1"/>
  <c r="D170" i="1" s="1"/>
  <c r="E170" i="1"/>
  <c r="F170" i="1" s="1"/>
  <c r="B171" i="1"/>
  <c r="C171" i="1"/>
  <c r="D171" i="1" s="1"/>
  <c r="E171" i="1"/>
  <c r="F171" i="1" s="1"/>
  <c r="B172" i="1"/>
  <c r="C172" i="1"/>
  <c r="D172" i="1" s="1"/>
  <c r="E172" i="1"/>
  <c r="F172" i="1" s="1"/>
  <c r="B173" i="1"/>
  <c r="C173" i="1"/>
  <c r="D173" i="1" s="1"/>
  <c r="E173" i="1"/>
  <c r="F173" i="1" s="1"/>
  <c r="B174" i="1"/>
  <c r="C174" i="1"/>
  <c r="D174" i="1" s="1"/>
  <c r="E174" i="1"/>
  <c r="F174" i="1" s="1"/>
  <c r="B175" i="1"/>
  <c r="C175" i="1"/>
  <c r="D175" i="1" s="1"/>
  <c r="E175" i="1"/>
  <c r="F175" i="1" s="1"/>
  <c r="B176" i="1"/>
  <c r="C176" i="1"/>
  <c r="D176" i="1" s="1"/>
  <c r="E176" i="1"/>
  <c r="F176" i="1" s="1"/>
  <c r="B177" i="1"/>
  <c r="C177" i="1"/>
  <c r="D177" i="1" s="1"/>
  <c r="E177" i="1"/>
  <c r="F177" i="1" s="1"/>
  <c r="B178" i="1"/>
  <c r="C178" i="1"/>
  <c r="D178" i="1" s="1"/>
  <c r="E178" i="1"/>
  <c r="F178" i="1" s="1"/>
  <c r="B179" i="1"/>
  <c r="C179" i="1"/>
  <c r="D179" i="1" s="1"/>
  <c r="E179" i="1"/>
  <c r="F179" i="1" s="1"/>
  <c r="B180" i="1"/>
  <c r="C180" i="1"/>
  <c r="D180" i="1" s="1"/>
  <c r="E180" i="1"/>
  <c r="F180" i="1" s="1"/>
  <c r="B181" i="1"/>
  <c r="C181" i="1"/>
  <c r="D181" i="1" s="1"/>
  <c r="E181" i="1"/>
  <c r="F181" i="1" s="1"/>
  <c r="B182" i="1"/>
  <c r="C182" i="1"/>
  <c r="D182" i="1" s="1"/>
  <c r="E182" i="1"/>
  <c r="F182" i="1" s="1"/>
  <c r="B183" i="1"/>
  <c r="C183" i="1"/>
  <c r="D183" i="1" s="1"/>
  <c r="E183" i="1"/>
  <c r="F183" i="1" s="1"/>
  <c r="B184" i="1"/>
  <c r="C184" i="1"/>
  <c r="D184" i="1" s="1"/>
  <c r="E184" i="1"/>
  <c r="F184" i="1" s="1"/>
  <c r="B185" i="1"/>
  <c r="C185" i="1"/>
  <c r="D185" i="1" s="1"/>
  <c r="E185" i="1"/>
  <c r="F185" i="1" s="1"/>
  <c r="B186" i="1"/>
  <c r="C186" i="1"/>
  <c r="D186" i="1" s="1"/>
  <c r="E186" i="1"/>
  <c r="F186" i="1" s="1"/>
  <c r="B187" i="1"/>
  <c r="C187" i="1"/>
  <c r="D187" i="1" s="1"/>
  <c r="E187" i="1"/>
  <c r="F187" i="1" s="1"/>
  <c r="B188" i="1"/>
  <c r="C188" i="1"/>
  <c r="D188" i="1" s="1"/>
  <c r="E188" i="1"/>
  <c r="F188" i="1" s="1"/>
  <c r="B189" i="1"/>
  <c r="C189" i="1"/>
  <c r="D189" i="1" s="1"/>
  <c r="E189" i="1"/>
  <c r="F189" i="1" s="1"/>
  <c r="B190" i="1"/>
  <c r="C190" i="1"/>
  <c r="D190" i="1" s="1"/>
  <c r="E190" i="1"/>
  <c r="F190" i="1" s="1"/>
  <c r="B191" i="1"/>
  <c r="C191" i="1"/>
  <c r="D191" i="1" s="1"/>
  <c r="E191" i="1"/>
  <c r="F191" i="1" s="1"/>
  <c r="B192" i="1"/>
  <c r="C192" i="1"/>
  <c r="D192" i="1" s="1"/>
  <c r="E192" i="1"/>
  <c r="F192" i="1" s="1"/>
  <c r="B193" i="1"/>
  <c r="C193" i="1"/>
  <c r="D193" i="1" s="1"/>
  <c r="E193" i="1"/>
  <c r="F193" i="1" s="1"/>
  <c r="B194" i="1"/>
  <c r="C194" i="1"/>
  <c r="D194" i="1" s="1"/>
  <c r="E194" i="1"/>
  <c r="F194" i="1" s="1"/>
  <c r="B195" i="1"/>
  <c r="C195" i="1"/>
  <c r="D195" i="1" s="1"/>
  <c r="E195" i="1"/>
  <c r="F195" i="1" s="1"/>
  <c r="B196" i="1"/>
  <c r="C196" i="1"/>
  <c r="D196" i="1" s="1"/>
  <c r="E196" i="1"/>
  <c r="F196" i="1" s="1"/>
  <c r="B197" i="1"/>
  <c r="C197" i="1"/>
  <c r="D197" i="1" s="1"/>
  <c r="E197" i="1"/>
  <c r="F197" i="1" s="1"/>
  <c r="B198" i="1"/>
  <c r="C198" i="1"/>
  <c r="D198" i="1" s="1"/>
  <c r="E198" i="1"/>
  <c r="F198" i="1" s="1"/>
  <c r="B199" i="1"/>
  <c r="C199" i="1"/>
  <c r="D199" i="1" s="1"/>
  <c r="E199" i="1"/>
  <c r="F199" i="1" s="1"/>
  <c r="B200" i="1"/>
  <c r="C200" i="1"/>
  <c r="D200" i="1" s="1"/>
  <c r="E200" i="1"/>
  <c r="F200" i="1" s="1"/>
  <c r="B201" i="1"/>
  <c r="C201" i="1"/>
  <c r="D201" i="1" s="1"/>
  <c r="E201" i="1"/>
  <c r="F201" i="1" s="1"/>
  <c r="B202" i="1"/>
  <c r="C202" i="1"/>
  <c r="D202" i="1" s="1"/>
  <c r="E202" i="1"/>
  <c r="F202" i="1" s="1"/>
  <c r="B203" i="1"/>
  <c r="C203" i="1"/>
  <c r="D203" i="1" s="1"/>
  <c r="E203" i="1"/>
  <c r="F203" i="1" s="1"/>
  <c r="B204" i="1"/>
  <c r="C204" i="1"/>
  <c r="D204" i="1" s="1"/>
  <c r="E204" i="1"/>
  <c r="F204" i="1" s="1"/>
  <c r="B205" i="1"/>
  <c r="C205" i="1"/>
  <c r="D205" i="1" s="1"/>
  <c r="E205" i="1"/>
  <c r="F205" i="1" s="1"/>
  <c r="B206" i="1"/>
  <c r="C206" i="1"/>
  <c r="D206" i="1" s="1"/>
  <c r="E206" i="1"/>
  <c r="F206" i="1" s="1"/>
  <c r="B207" i="1"/>
  <c r="C207" i="1"/>
  <c r="D207" i="1" s="1"/>
  <c r="E207" i="1"/>
  <c r="F207" i="1" s="1"/>
  <c r="B208" i="1"/>
  <c r="C208" i="1"/>
  <c r="D208" i="1" s="1"/>
  <c r="E208" i="1"/>
  <c r="F208" i="1" s="1"/>
  <c r="B209" i="1"/>
  <c r="C209" i="1"/>
  <c r="D209" i="1" s="1"/>
  <c r="E209" i="1"/>
  <c r="F209" i="1" s="1"/>
  <c r="B210" i="1"/>
  <c r="C210" i="1"/>
  <c r="D210" i="1" s="1"/>
  <c r="E210" i="1"/>
  <c r="F210" i="1" s="1"/>
  <c r="B211" i="1"/>
  <c r="C211" i="1"/>
  <c r="D211" i="1" s="1"/>
  <c r="E211" i="1"/>
  <c r="F211" i="1" s="1"/>
  <c r="B212" i="1"/>
  <c r="C212" i="1"/>
  <c r="D212" i="1" s="1"/>
  <c r="E212" i="1"/>
  <c r="F212" i="1" s="1"/>
  <c r="B213" i="1"/>
  <c r="C213" i="1"/>
  <c r="D213" i="1" s="1"/>
  <c r="E213" i="1"/>
  <c r="F213" i="1" s="1"/>
  <c r="B214" i="1"/>
  <c r="C214" i="1"/>
  <c r="D214" i="1" s="1"/>
  <c r="E214" i="1"/>
  <c r="F214" i="1" s="1"/>
  <c r="B215" i="1"/>
  <c r="C215" i="1"/>
  <c r="D215" i="1" s="1"/>
  <c r="E215" i="1"/>
  <c r="F215" i="1" s="1"/>
  <c r="B216" i="1"/>
  <c r="C216" i="1"/>
  <c r="D216" i="1" s="1"/>
  <c r="E216" i="1"/>
  <c r="F216" i="1" s="1"/>
  <c r="B217" i="1"/>
  <c r="C217" i="1"/>
  <c r="D217" i="1" s="1"/>
  <c r="E217" i="1"/>
  <c r="F217" i="1" s="1"/>
  <c r="B218" i="1"/>
  <c r="C218" i="1"/>
  <c r="D218" i="1" s="1"/>
  <c r="E218" i="1"/>
  <c r="F218" i="1" s="1"/>
  <c r="B219" i="1"/>
  <c r="C219" i="1"/>
  <c r="D219" i="1" s="1"/>
  <c r="E219" i="1"/>
  <c r="F219" i="1" s="1"/>
  <c r="B220" i="1"/>
  <c r="C220" i="1"/>
  <c r="D220" i="1" s="1"/>
  <c r="E220" i="1"/>
  <c r="F220" i="1" s="1"/>
  <c r="B221" i="1"/>
  <c r="C221" i="1"/>
  <c r="D221" i="1" s="1"/>
  <c r="E221" i="1"/>
  <c r="F221" i="1" s="1"/>
  <c r="B222" i="1"/>
  <c r="C222" i="1"/>
  <c r="D222" i="1" s="1"/>
  <c r="E222" i="1"/>
  <c r="F222" i="1" s="1"/>
  <c r="B223" i="1"/>
  <c r="C223" i="1"/>
  <c r="D223" i="1" s="1"/>
  <c r="E223" i="1"/>
  <c r="F223" i="1" s="1"/>
  <c r="B224" i="1"/>
  <c r="C224" i="1"/>
  <c r="D224" i="1" s="1"/>
  <c r="E224" i="1"/>
  <c r="F224" i="1" s="1"/>
  <c r="B225" i="1"/>
  <c r="C225" i="1"/>
  <c r="D225" i="1" s="1"/>
  <c r="E225" i="1"/>
  <c r="F225" i="1" s="1"/>
  <c r="B226" i="1"/>
  <c r="C226" i="1"/>
  <c r="D226" i="1" s="1"/>
  <c r="E226" i="1"/>
  <c r="F226" i="1" s="1"/>
  <c r="B227" i="1"/>
  <c r="C227" i="1"/>
  <c r="D227" i="1" s="1"/>
  <c r="E227" i="1"/>
  <c r="F227" i="1" s="1"/>
  <c r="B228" i="1"/>
  <c r="C228" i="1"/>
  <c r="D228" i="1" s="1"/>
  <c r="E228" i="1"/>
  <c r="F228" i="1" s="1"/>
  <c r="B229" i="1"/>
  <c r="C229" i="1"/>
  <c r="D229" i="1" s="1"/>
  <c r="E229" i="1"/>
  <c r="F229" i="1" s="1"/>
  <c r="B230" i="1"/>
  <c r="C230" i="1"/>
  <c r="D230" i="1" s="1"/>
  <c r="E230" i="1"/>
  <c r="F230" i="1" s="1"/>
  <c r="B231" i="1"/>
  <c r="C231" i="1"/>
  <c r="D231" i="1" s="1"/>
  <c r="E231" i="1"/>
  <c r="F231" i="1" s="1"/>
  <c r="B232" i="1"/>
  <c r="C232" i="1"/>
  <c r="D232" i="1" s="1"/>
  <c r="E232" i="1"/>
  <c r="F232" i="1" s="1"/>
  <c r="B233" i="1"/>
  <c r="C233" i="1"/>
  <c r="D233" i="1" s="1"/>
  <c r="E233" i="1"/>
  <c r="F233" i="1" s="1"/>
  <c r="B234" i="1"/>
  <c r="C234" i="1"/>
  <c r="D234" i="1" s="1"/>
  <c r="E234" i="1"/>
  <c r="F234" i="1" s="1"/>
  <c r="B235" i="1"/>
  <c r="C235" i="1"/>
  <c r="D235" i="1" s="1"/>
  <c r="E235" i="1"/>
  <c r="F235" i="1" s="1"/>
  <c r="B236" i="1"/>
  <c r="C236" i="1"/>
  <c r="D236" i="1" s="1"/>
  <c r="E236" i="1"/>
  <c r="F236" i="1" s="1"/>
  <c r="B237" i="1"/>
  <c r="C237" i="1"/>
  <c r="D237" i="1" s="1"/>
  <c r="E237" i="1"/>
  <c r="F237" i="1" s="1"/>
  <c r="B238" i="1"/>
  <c r="C238" i="1"/>
  <c r="D238" i="1" s="1"/>
  <c r="E238" i="1"/>
  <c r="F238" i="1" s="1"/>
  <c r="B239" i="1"/>
  <c r="C239" i="1"/>
  <c r="D239" i="1" s="1"/>
  <c r="E239" i="1"/>
  <c r="F239" i="1" s="1"/>
  <c r="B240" i="1"/>
  <c r="C240" i="1"/>
  <c r="D240" i="1" s="1"/>
  <c r="E240" i="1"/>
  <c r="F240" i="1" s="1"/>
  <c r="B241" i="1"/>
  <c r="C241" i="1"/>
  <c r="D241" i="1" s="1"/>
  <c r="E241" i="1"/>
  <c r="F241" i="1" s="1"/>
  <c r="B242" i="1"/>
  <c r="C242" i="1"/>
  <c r="D242" i="1" s="1"/>
  <c r="E242" i="1"/>
  <c r="F242" i="1" s="1"/>
  <c r="B243" i="1"/>
  <c r="C243" i="1"/>
  <c r="D243" i="1" s="1"/>
  <c r="E243" i="1"/>
  <c r="F243" i="1" s="1"/>
  <c r="B244" i="1"/>
  <c r="C244" i="1"/>
  <c r="D244" i="1" s="1"/>
  <c r="E244" i="1"/>
  <c r="F244" i="1" s="1"/>
  <c r="B245" i="1"/>
  <c r="C245" i="1"/>
  <c r="D245" i="1" s="1"/>
  <c r="E245" i="1"/>
  <c r="F245" i="1" s="1"/>
  <c r="B246" i="1"/>
  <c r="C246" i="1"/>
  <c r="D246" i="1" s="1"/>
  <c r="E246" i="1"/>
  <c r="F246" i="1" s="1"/>
  <c r="B247" i="1"/>
  <c r="C247" i="1"/>
  <c r="D247" i="1" s="1"/>
  <c r="E247" i="1"/>
  <c r="F247" i="1" s="1"/>
  <c r="B248" i="1"/>
  <c r="C248" i="1"/>
  <c r="D248" i="1" s="1"/>
  <c r="E248" i="1"/>
  <c r="F248" i="1" s="1"/>
  <c r="B249" i="1"/>
  <c r="C249" i="1"/>
  <c r="D249" i="1" s="1"/>
  <c r="E249" i="1"/>
  <c r="F249" i="1" s="1"/>
  <c r="B250" i="1"/>
  <c r="C250" i="1"/>
  <c r="D250" i="1" s="1"/>
  <c r="E250" i="1"/>
  <c r="F250" i="1" s="1"/>
  <c r="B251" i="1"/>
  <c r="C251" i="1"/>
  <c r="D251" i="1" s="1"/>
  <c r="E251" i="1"/>
  <c r="F251" i="1" s="1"/>
  <c r="B252" i="1"/>
  <c r="C252" i="1"/>
  <c r="D252" i="1" s="1"/>
  <c r="E252" i="1"/>
  <c r="F252" i="1" s="1"/>
  <c r="B253" i="1"/>
  <c r="C253" i="1"/>
  <c r="D253" i="1" s="1"/>
  <c r="E253" i="1"/>
  <c r="F253" i="1" s="1"/>
  <c r="B254" i="1"/>
  <c r="C254" i="1"/>
  <c r="D254" i="1" s="1"/>
  <c r="E254" i="1"/>
  <c r="F254" i="1" s="1"/>
  <c r="B255" i="1"/>
  <c r="C255" i="1"/>
  <c r="D255" i="1" s="1"/>
  <c r="E255" i="1"/>
  <c r="F255" i="1" s="1"/>
  <c r="B256" i="1"/>
  <c r="C256" i="1"/>
  <c r="D256" i="1" s="1"/>
  <c r="E256" i="1"/>
  <c r="F256" i="1" s="1"/>
  <c r="B257" i="1"/>
  <c r="C257" i="1"/>
  <c r="D257" i="1" s="1"/>
  <c r="E257" i="1"/>
  <c r="F257" i="1" s="1"/>
  <c r="B258" i="1"/>
  <c r="C258" i="1"/>
  <c r="D258" i="1" s="1"/>
  <c r="E258" i="1"/>
  <c r="F258" i="1" s="1"/>
  <c r="B259" i="1"/>
  <c r="C259" i="1"/>
  <c r="D259" i="1" s="1"/>
  <c r="E259" i="1"/>
  <c r="F259" i="1" s="1"/>
  <c r="B260" i="1"/>
  <c r="C260" i="1"/>
  <c r="D260" i="1" s="1"/>
  <c r="E260" i="1"/>
  <c r="F260" i="1" s="1"/>
  <c r="B261" i="1"/>
  <c r="C261" i="1"/>
  <c r="D261" i="1" s="1"/>
  <c r="E261" i="1"/>
  <c r="F261" i="1" s="1"/>
  <c r="B262" i="1"/>
  <c r="C262" i="1"/>
  <c r="D262" i="1" s="1"/>
  <c r="E262" i="1"/>
  <c r="F262" i="1" s="1"/>
  <c r="B263" i="1"/>
  <c r="C263" i="1"/>
  <c r="D263" i="1" s="1"/>
  <c r="E263" i="1"/>
  <c r="F263" i="1" s="1"/>
  <c r="B264" i="1"/>
  <c r="C264" i="1"/>
  <c r="D264" i="1" s="1"/>
  <c r="E264" i="1"/>
  <c r="F264" i="1" s="1"/>
  <c r="B265" i="1"/>
  <c r="C265" i="1"/>
  <c r="D265" i="1" s="1"/>
  <c r="E265" i="1"/>
  <c r="F265" i="1" s="1"/>
  <c r="B266" i="1"/>
  <c r="C266" i="1"/>
  <c r="D266" i="1" s="1"/>
  <c r="E266" i="1"/>
  <c r="F266" i="1" s="1"/>
  <c r="B267" i="1"/>
  <c r="C267" i="1"/>
  <c r="D267" i="1" s="1"/>
  <c r="E267" i="1"/>
  <c r="F267" i="1" s="1"/>
  <c r="B268" i="1"/>
  <c r="C268" i="1"/>
  <c r="D268" i="1" s="1"/>
  <c r="E268" i="1"/>
  <c r="F268" i="1" s="1"/>
  <c r="B269" i="1"/>
  <c r="C269" i="1"/>
  <c r="D269" i="1" s="1"/>
  <c r="E269" i="1"/>
  <c r="F269" i="1" s="1"/>
  <c r="B270" i="1"/>
  <c r="C270" i="1"/>
  <c r="D270" i="1" s="1"/>
  <c r="E270" i="1"/>
  <c r="F270" i="1" s="1"/>
  <c r="B271" i="1"/>
  <c r="C271" i="1"/>
  <c r="D271" i="1" s="1"/>
  <c r="E271" i="1"/>
  <c r="F271" i="1" s="1"/>
  <c r="B272" i="1"/>
  <c r="C272" i="1"/>
  <c r="D272" i="1" s="1"/>
  <c r="E272" i="1"/>
  <c r="F272" i="1" s="1"/>
  <c r="B273" i="1"/>
  <c r="C273" i="1"/>
  <c r="D273" i="1" s="1"/>
  <c r="E273" i="1"/>
  <c r="F273" i="1" s="1"/>
  <c r="B274" i="1"/>
  <c r="C274" i="1"/>
  <c r="D274" i="1" s="1"/>
  <c r="E274" i="1"/>
  <c r="F274" i="1" s="1"/>
  <c r="B275" i="1"/>
  <c r="C275" i="1"/>
  <c r="D275" i="1" s="1"/>
  <c r="E275" i="1"/>
  <c r="F275" i="1" s="1"/>
  <c r="B276" i="1"/>
  <c r="C276" i="1"/>
  <c r="D276" i="1" s="1"/>
  <c r="E276" i="1"/>
  <c r="F276" i="1" s="1"/>
  <c r="B277" i="1"/>
  <c r="C277" i="1"/>
  <c r="D277" i="1" s="1"/>
  <c r="E277" i="1"/>
  <c r="F277" i="1" s="1"/>
  <c r="B278" i="1"/>
  <c r="C278" i="1"/>
  <c r="D278" i="1" s="1"/>
  <c r="E278" i="1"/>
  <c r="F278" i="1" s="1"/>
  <c r="B279" i="1"/>
  <c r="C279" i="1"/>
  <c r="D279" i="1" s="1"/>
  <c r="E279" i="1"/>
  <c r="F279" i="1" s="1"/>
  <c r="B280" i="1"/>
  <c r="C280" i="1"/>
  <c r="D280" i="1" s="1"/>
  <c r="E280" i="1"/>
  <c r="F280" i="1" s="1"/>
  <c r="B281" i="1"/>
  <c r="C281" i="1"/>
  <c r="D281" i="1" s="1"/>
  <c r="E281" i="1"/>
  <c r="F281" i="1" s="1"/>
  <c r="B282" i="1"/>
  <c r="C282" i="1"/>
  <c r="D282" i="1" s="1"/>
  <c r="E282" i="1"/>
  <c r="F282" i="1" s="1"/>
  <c r="B283" i="1"/>
  <c r="C283" i="1"/>
  <c r="D283" i="1" s="1"/>
  <c r="E283" i="1"/>
  <c r="F283" i="1" s="1"/>
  <c r="B284" i="1"/>
  <c r="C284" i="1"/>
  <c r="D284" i="1" s="1"/>
  <c r="E284" i="1"/>
  <c r="F284" i="1" s="1"/>
  <c r="B285" i="1"/>
  <c r="C285" i="1"/>
  <c r="D285" i="1" s="1"/>
  <c r="E285" i="1"/>
  <c r="F285" i="1" s="1"/>
  <c r="B286" i="1"/>
  <c r="C286" i="1"/>
  <c r="D286" i="1" s="1"/>
  <c r="E286" i="1"/>
  <c r="F286" i="1" s="1"/>
  <c r="B287" i="1"/>
  <c r="C287" i="1"/>
  <c r="D287" i="1" s="1"/>
  <c r="E287" i="1"/>
  <c r="F287" i="1" s="1"/>
  <c r="B288" i="1"/>
  <c r="C288" i="1"/>
  <c r="D288" i="1" s="1"/>
  <c r="E288" i="1"/>
  <c r="F288" i="1" s="1"/>
  <c r="B289" i="1"/>
  <c r="C289" i="1"/>
  <c r="D289" i="1" s="1"/>
  <c r="E289" i="1"/>
  <c r="F289" i="1" s="1"/>
  <c r="B290" i="1"/>
  <c r="C290" i="1"/>
  <c r="D290" i="1" s="1"/>
  <c r="E290" i="1"/>
  <c r="F290" i="1" s="1"/>
  <c r="B291" i="1"/>
  <c r="C291" i="1"/>
  <c r="D291" i="1" s="1"/>
  <c r="E291" i="1"/>
  <c r="F291" i="1" s="1"/>
  <c r="B292" i="1"/>
  <c r="C292" i="1"/>
  <c r="D292" i="1" s="1"/>
  <c r="E292" i="1"/>
  <c r="F292" i="1" s="1"/>
  <c r="B293" i="1"/>
  <c r="C293" i="1"/>
  <c r="D293" i="1" s="1"/>
  <c r="E293" i="1"/>
  <c r="F293" i="1" s="1"/>
  <c r="B294" i="1"/>
  <c r="C294" i="1"/>
  <c r="D294" i="1" s="1"/>
  <c r="E294" i="1"/>
  <c r="F294" i="1" s="1"/>
  <c r="B295" i="1"/>
  <c r="C295" i="1"/>
  <c r="D295" i="1" s="1"/>
  <c r="E295" i="1"/>
  <c r="F295" i="1" s="1"/>
  <c r="B296" i="1"/>
  <c r="C296" i="1"/>
  <c r="D296" i="1" s="1"/>
  <c r="E296" i="1"/>
  <c r="F296" i="1" s="1"/>
  <c r="B297" i="1"/>
  <c r="C297" i="1"/>
  <c r="D297" i="1" s="1"/>
  <c r="E297" i="1"/>
  <c r="F297" i="1" s="1"/>
  <c r="B298" i="1"/>
  <c r="C298" i="1"/>
  <c r="D298" i="1" s="1"/>
  <c r="E298" i="1"/>
  <c r="F298" i="1" s="1"/>
  <c r="B299" i="1"/>
  <c r="C299" i="1"/>
  <c r="D299" i="1" s="1"/>
  <c r="E299" i="1"/>
  <c r="F299" i="1" s="1"/>
  <c r="B300" i="1"/>
  <c r="C300" i="1"/>
  <c r="D300" i="1" s="1"/>
  <c r="E300" i="1"/>
  <c r="F300" i="1" s="1"/>
  <c r="B301" i="1"/>
  <c r="C301" i="1"/>
  <c r="D301" i="1" s="1"/>
  <c r="E301" i="1"/>
  <c r="F301" i="1" s="1"/>
  <c r="B302" i="1"/>
  <c r="C302" i="1"/>
  <c r="D302" i="1" s="1"/>
  <c r="E302" i="1"/>
  <c r="F302" i="1" s="1"/>
  <c r="B303" i="1"/>
  <c r="C303" i="1"/>
  <c r="D303" i="1" s="1"/>
  <c r="E303" i="1"/>
  <c r="F303" i="1" s="1"/>
  <c r="B304" i="1"/>
  <c r="C304" i="1"/>
  <c r="D304" i="1" s="1"/>
  <c r="E304" i="1"/>
  <c r="F304" i="1" s="1"/>
  <c r="B305" i="1"/>
  <c r="C305" i="1"/>
  <c r="D305" i="1" s="1"/>
  <c r="E305" i="1"/>
  <c r="F305" i="1" s="1"/>
  <c r="B306" i="1"/>
  <c r="C306" i="1"/>
  <c r="D306" i="1" s="1"/>
  <c r="E306" i="1"/>
  <c r="F306" i="1" s="1"/>
  <c r="B307" i="1"/>
  <c r="C307" i="1"/>
  <c r="D307" i="1" s="1"/>
  <c r="E307" i="1"/>
  <c r="F307" i="1" s="1"/>
  <c r="B308" i="1"/>
  <c r="C308" i="1"/>
  <c r="D308" i="1" s="1"/>
  <c r="E308" i="1"/>
  <c r="F308" i="1" s="1"/>
  <c r="B309" i="1"/>
  <c r="C309" i="1"/>
  <c r="D309" i="1" s="1"/>
  <c r="E309" i="1"/>
  <c r="F309" i="1" s="1"/>
  <c r="B310" i="1"/>
  <c r="C310" i="1"/>
  <c r="D310" i="1" s="1"/>
  <c r="E310" i="1"/>
  <c r="F310" i="1" s="1"/>
  <c r="B311" i="1"/>
  <c r="C311" i="1"/>
  <c r="D311" i="1" s="1"/>
  <c r="E311" i="1"/>
  <c r="F311" i="1" s="1"/>
  <c r="B312" i="1"/>
  <c r="C312" i="1"/>
  <c r="D312" i="1" s="1"/>
  <c r="E312" i="1"/>
  <c r="F312" i="1" s="1"/>
  <c r="B313" i="1"/>
  <c r="C313" i="1"/>
  <c r="D313" i="1" s="1"/>
  <c r="E313" i="1"/>
  <c r="F313" i="1" s="1"/>
  <c r="B314" i="1"/>
  <c r="C314" i="1"/>
  <c r="D314" i="1" s="1"/>
  <c r="E314" i="1"/>
  <c r="F314" i="1" s="1"/>
  <c r="B315" i="1"/>
  <c r="C315" i="1"/>
  <c r="D315" i="1" s="1"/>
  <c r="E315" i="1"/>
  <c r="F315" i="1" s="1"/>
  <c r="B316" i="1"/>
  <c r="C316" i="1"/>
  <c r="D316" i="1" s="1"/>
  <c r="E316" i="1"/>
  <c r="F316" i="1" s="1"/>
  <c r="B317" i="1"/>
  <c r="C317" i="1"/>
  <c r="D317" i="1" s="1"/>
  <c r="E317" i="1"/>
  <c r="F317" i="1" s="1"/>
  <c r="B7" i="1"/>
  <c r="C7" i="1"/>
  <c r="D7" i="1" s="1"/>
  <c r="E7" i="1"/>
  <c r="F7" i="1" s="1"/>
  <c r="B8" i="1"/>
  <c r="C8" i="1"/>
  <c r="D8" i="1" s="1"/>
  <c r="E8" i="1"/>
  <c r="F8" i="1" s="1"/>
  <c r="B9" i="1"/>
  <c r="C9" i="1"/>
  <c r="D9" i="1" s="1"/>
  <c r="E9" i="1"/>
  <c r="F9" i="1" s="1"/>
  <c r="B10" i="1"/>
  <c r="C10" i="1"/>
  <c r="D10" i="1" s="1"/>
  <c r="E10" i="1"/>
  <c r="F10" i="1" s="1"/>
  <c r="B11" i="1"/>
  <c r="C11" i="1"/>
  <c r="D11" i="1" s="1"/>
  <c r="E11" i="1"/>
  <c r="F11" i="1" s="1"/>
  <c r="B12" i="1"/>
  <c r="C12" i="1"/>
  <c r="D12" i="1" s="1"/>
  <c r="E12" i="1"/>
  <c r="F12" i="1" s="1"/>
  <c r="B13" i="1"/>
  <c r="C13" i="1"/>
  <c r="D13" i="1" s="1"/>
  <c r="E13" i="1"/>
  <c r="F13" i="1" s="1"/>
  <c r="B14" i="1"/>
  <c r="C14" i="1"/>
  <c r="D14" i="1" s="1"/>
  <c r="E14" i="1"/>
  <c r="F14" i="1" s="1"/>
  <c r="E6" i="1"/>
  <c r="F6" i="1" s="1"/>
  <c r="C6" i="1"/>
  <c r="D6" i="1" s="1"/>
  <c r="B6" i="1"/>
  <c r="E5" i="1"/>
  <c r="F5" i="1" s="1"/>
  <c r="C5" i="1"/>
  <c r="D5" i="1" s="1"/>
  <c r="B5" i="1"/>
  <c r="E4" i="1"/>
  <c r="F4" i="1" s="1"/>
  <c r="C4" i="1"/>
  <c r="D4" i="1" s="1"/>
  <c r="B4" i="1"/>
  <c r="E3" i="1"/>
  <c r="F3" i="1" s="1"/>
  <c r="C3" i="1"/>
  <c r="D3" i="1" s="1"/>
  <c r="B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E2" i="1"/>
  <c r="F2" i="1" s="1"/>
  <c r="C2" i="1"/>
  <c r="D2" i="1" s="1"/>
  <c r="B2" i="1"/>
</calcChain>
</file>

<file path=xl/sharedStrings.xml><?xml version="1.0" encoding="utf-8"?>
<sst xmlns="http://schemas.openxmlformats.org/spreadsheetml/2006/main" count="1310" uniqueCount="36">
  <si>
    <t xml:space="preserve">Age </t>
  </si>
  <si>
    <t>N°</t>
  </si>
  <si>
    <t>Sexe</t>
  </si>
  <si>
    <t xml:space="preserve">Avis </t>
  </si>
  <si>
    <t>Sexe_Libelle</t>
  </si>
  <si>
    <t>Avis_Libellé</t>
  </si>
  <si>
    <t>Femme</t>
  </si>
  <si>
    <t>Défavorable</t>
  </si>
  <si>
    <t>Homme</t>
  </si>
  <si>
    <t>Favorable</t>
  </si>
  <si>
    <t>Ne se prononce pas</t>
  </si>
  <si>
    <t xml:space="preserve">Population totale: </t>
  </si>
  <si>
    <t xml:space="preserve">Moyenne </t>
  </si>
  <si>
    <t>Ecart-type</t>
  </si>
  <si>
    <t>Variance</t>
  </si>
  <si>
    <t>Population Homme (variable âge)</t>
  </si>
  <si>
    <t>Valeurs</t>
  </si>
  <si>
    <t>Esperance</t>
  </si>
  <si>
    <t>Ecart type</t>
  </si>
  <si>
    <t>Population Femme (variable âge)</t>
  </si>
  <si>
    <t>Indicateur</t>
  </si>
  <si>
    <t>Somme des xi</t>
  </si>
  <si>
    <t>Condition expérimental :</t>
  </si>
  <si>
    <t xml:space="preserve">Population inconnue </t>
  </si>
  <si>
    <t xml:space="preserve">Variance inconnu </t>
  </si>
  <si>
    <t>Ellement de contexte :</t>
  </si>
  <si>
    <t>n=50 &gt;= 30  ---&gt; approximativement Normal N(0,1)</t>
  </si>
  <si>
    <t>Somme des xi²</t>
  </si>
  <si>
    <t>Age²</t>
  </si>
  <si>
    <t xml:space="preserve">K: marge d'erreur </t>
  </si>
  <si>
    <t>S² = 35,96</t>
  </si>
  <si>
    <t>x = m</t>
  </si>
  <si>
    <t xml:space="preserve">V(x ̄) =  s²/sqrt(n)*(N-n/n) </t>
  </si>
  <si>
    <t xml:space="preserve">V(x ̄) = Variance/sqrt(n)*(N-n/n) --&gt; on l'estime par s²/sqrt(n)*(N-n/n) </t>
  </si>
  <si>
    <t>Forme de l'intervalle I =[x ̄-k,x ̄+k]</t>
  </si>
  <si>
    <t>n=30 &gt;= 30  ---&gt; approximativement Normal N(0,1)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</si>
</sst>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0" fontId="1" fillId="0" borderId="10" xfId="0" applyFont="1" applyBorder="1"/>
    <xf numFmtId="0" fontId="5" fillId="0" borderId="11" xfId="0" applyFont="1" applyBorder="1"/>
    <xf numFmtId="0" fontId="5" fillId="0" borderId="6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9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0" fillId="0" borderId="12" xfId="0" applyBorder="1"/>
    <xf numFmtId="0" fontId="1" fillId="0" borderId="13" xfId="0" applyFont="1" applyBorder="1"/>
    <xf numFmtId="0" fontId="1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0" xfId="0" applyFont="1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1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6AADBF-6211-43BB-9E28-A95C320D8E6F}" name="Tableau1" displayName="Tableau1" ref="A1:F501" totalsRowShown="0" headerRowDxfId="9" headerRowBorderDxfId="8" tableBorderDxfId="7" totalsRowBorderDxfId="6">
  <autoFilter ref="A1:F501" xr:uid="{C76AADBF-6211-43BB-9E28-A95C320D8E6F}"/>
  <tableColumns count="6">
    <tableColumn id="1" xr3:uid="{B7EB10E2-4AEE-4750-8A67-0A3F1AFB7F25}" name="N°" dataDxfId="5"/>
    <tableColumn id="2" xr3:uid="{331CDDF1-6040-4876-8E19-978335599BE4}" name="Age " dataDxfId="4"/>
    <tableColumn id="3" xr3:uid="{06BE72C3-4CD2-4C1C-A61B-CA3B3E8F9E86}" name="Sexe" dataDxfId="3"/>
    <tableColumn id="4" xr3:uid="{821FFB07-1BE7-4EB0-A324-1481507037ED}" name="Sexe_Libelle" dataDxfId="2"/>
    <tableColumn id="5" xr3:uid="{3D4A4F48-DD4B-4B7E-AF38-9E4D71552765}" name="Avis " dataDxfId="1"/>
    <tableColumn id="6" xr3:uid="{4469D79A-2630-48C4-A1BE-0D03AC480262}" name="Avis_Libellé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K501"/>
  <sheetViews>
    <sheetView topLeftCell="B1" workbookViewId="0">
      <selection activeCell="I31" sqref="I31"/>
    </sheetView>
  </sheetViews>
  <sheetFormatPr baseColWidth="10" defaultRowHeight="15" x14ac:dyDescent="0.25"/>
  <cols>
    <col min="4" max="4" width="14.42578125" customWidth="1"/>
    <col min="6" max="6" width="18.5703125" customWidth="1"/>
    <col min="10" max="10" width="16.140625" bestFit="1" customWidth="1"/>
  </cols>
  <sheetData>
    <row r="1" spans="1:11" s="3" customFormat="1" ht="15.75" thickBot="1" x14ac:dyDescent="0.3">
      <c r="A1" s="11" t="s">
        <v>1</v>
      </c>
      <c r="B1" s="22" t="s">
        <v>0</v>
      </c>
      <c r="C1" s="22" t="s">
        <v>2</v>
      </c>
      <c r="D1" s="22" t="s">
        <v>4</v>
      </c>
      <c r="E1" s="22" t="s">
        <v>3</v>
      </c>
      <c r="F1" s="23" t="s">
        <v>5</v>
      </c>
      <c r="J1" s="20" t="s">
        <v>11</v>
      </c>
      <c r="K1" s="12"/>
    </row>
    <row r="2" spans="1:11" ht="15.75" thickBot="1" x14ac:dyDescent="0.3">
      <c r="A2" s="10">
        <v>1</v>
      </c>
      <c r="B2" s="1">
        <v>39</v>
      </c>
      <c r="C2" s="1">
        <v>1</v>
      </c>
      <c r="D2" s="1" t="s">
        <v>6</v>
      </c>
      <c r="E2" s="1">
        <v>2</v>
      </c>
      <c r="F2" s="21" t="s">
        <v>7</v>
      </c>
      <c r="I2" s="9"/>
      <c r="J2" s="13" t="s">
        <v>20</v>
      </c>
      <c r="K2" s="14" t="s">
        <v>16</v>
      </c>
    </row>
    <row r="3" spans="1:11" ht="15.75" thickBot="1" x14ac:dyDescent="0.3">
      <c r="A3" s="10">
        <v>2</v>
      </c>
      <c r="B3" s="1">
        <v>38</v>
      </c>
      <c r="C3" s="1">
        <v>1</v>
      </c>
      <c r="D3" s="1" t="s">
        <v>6</v>
      </c>
      <c r="E3" s="1">
        <v>2</v>
      </c>
      <c r="F3" s="21" t="s">
        <v>7</v>
      </c>
      <c r="I3" s="9"/>
      <c r="J3" s="15" t="s">
        <v>12</v>
      </c>
      <c r="K3" s="16">
        <f>AVERAGE(B2:B501)</f>
        <v>39.494</v>
      </c>
    </row>
    <row r="4" spans="1:11" ht="15.75" thickBot="1" x14ac:dyDescent="0.3">
      <c r="A4" s="10">
        <v>3</v>
      </c>
      <c r="B4" s="1">
        <v>42</v>
      </c>
      <c r="C4" s="1">
        <v>1</v>
      </c>
      <c r="D4" s="1" t="s">
        <v>6</v>
      </c>
      <c r="E4" s="1">
        <v>2</v>
      </c>
      <c r="F4" s="21" t="s">
        <v>7</v>
      </c>
      <c r="I4" s="9"/>
      <c r="J4" s="15" t="s">
        <v>13</v>
      </c>
      <c r="K4" s="17">
        <f>_xlfn.STDEV.S(B2:B501)</f>
        <v>6.0659339849870078</v>
      </c>
    </row>
    <row r="5" spans="1:11" ht="15.75" thickBot="1" x14ac:dyDescent="0.3">
      <c r="A5" s="10">
        <v>4</v>
      </c>
      <c r="B5" s="1">
        <v>46</v>
      </c>
      <c r="C5" s="1">
        <v>0</v>
      </c>
      <c r="D5" s="1" t="s">
        <v>8</v>
      </c>
      <c r="E5" s="1">
        <v>1</v>
      </c>
      <c r="F5" s="21" t="s">
        <v>9</v>
      </c>
      <c r="I5" s="9"/>
      <c r="J5" s="18" t="s">
        <v>14</v>
      </c>
      <c r="K5" s="19">
        <f>VARP(B2:B501)</f>
        <v>36.721964</v>
      </c>
    </row>
    <row r="6" spans="1:11" x14ac:dyDescent="0.25">
      <c r="A6" s="10">
        <v>5</v>
      </c>
      <c r="B6" s="1">
        <v>32</v>
      </c>
      <c r="C6" s="1">
        <v>1</v>
      </c>
      <c r="D6" s="1" t="s">
        <v>6</v>
      </c>
      <c r="E6" s="1">
        <v>1</v>
      </c>
      <c r="F6" s="21" t="s">
        <v>9</v>
      </c>
    </row>
    <row r="7" spans="1:11" x14ac:dyDescent="0.25">
      <c r="A7" s="10">
        <v>6</v>
      </c>
      <c r="B7" s="1">
        <v>35</v>
      </c>
      <c r="C7" s="1">
        <v>0</v>
      </c>
      <c r="D7" s="1" t="s">
        <v>8</v>
      </c>
      <c r="E7" s="1">
        <v>1</v>
      </c>
      <c r="F7" s="21" t="s">
        <v>9</v>
      </c>
    </row>
    <row r="8" spans="1:11" x14ac:dyDescent="0.25">
      <c r="A8" s="10">
        <v>7</v>
      </c>
      <c r="B8" s="1">
        <v>48</v>
      </c>
      <c r="C8" s="1">
        <v>1</v>
      </c>
      <c r="D8" s="1" t="s">
        <v>6</v>
      </c>
      <c r="E8" s="1">
        <v>2</v>
      </c>
      <c r="F8" s="21" t="s">
        <v>7</v>
      </c>
    </row>
    <row r="9" spans="1:11" ht="16.5" thickBot="1" x14ac:dyDescent="0.3">
      <c r="A9" s="10">
        <v>8</v>
      </c>
      <c r="B9" s="1">
        <v>42</v>
      </c>
      <c r="C9" s="1">
        <v>0</v>
      </c>
      <c r="D9" s="1" t="s">
        <v>8</v>
      </c>
      <c r="E9" s="1">
        <v>3</v>
      </c>
      <c r="F9" s="21" t="s">
        <v>10</v>
      </c>
      <c r="J9" s="4" t="s">
        <v>15</v>
      </c>
    </row>
    <row r="10" spans="1:11" ht="16.5" thickBot="1" x14ac:dyDescent="0.3">
      <c r="A10" s="10">
        <v>9</v>
      </c>
      <c r="B10" s="1">
        <v>39</v>
      </c>
      <c r="C10" s="1">
        <v>1</v>
      </c>
      <c r="D10" s="1" t="s">
        <v>6</v>
      </c>
      <c r="E10" s="1">
        <v>3</v>
      </c>
      <c r="F10" s="21" t="s">
        <v>10</v>
      </c>
      <c r="J10" s="5" t="s">
        <v>20</v>
      </c>
      <c r="K10" s="6" t="s">
        <v>16</v>
      </c>
    </row>
    <row r="11" spans="1:11" ht="16.5" thickBot="1" x14ac:dyDescent="0.3">
      <c r="A11" s="10">
        <v>10</v>
      </c>
      <c r="B11" s="1">
        <v>42</v>
      </c>
      <c r="C11" s="1">
        <v>0</v>
      </c>
      <c r="D11" s="1" t="s">
        <v>8</v>
      </c>
      <c r="E11" s="1">
        <v>3</v>
      </c>
      <c r="F11" s="21" t="s">
        <v>10</v>
      </c>
      <c r="J11" s="7" t="s">
        <v>17</v>
      </c>
      <c r="K11" s="8">
        <v>39.31</v>
      </c>
    </row>
    <row r="12" spans="1:11" ht="16.5" thickBot="1" x14ac:dyDescent="0.3">
      <c r="A12" s="10">
        <v>11</v>
      </c>
      <c r="B12" s="1">
        <v>33</v>
      </c>
      <c r="C12" s="1">
        <v>1</v>
      </c>
      <c r="D12" s="1" t="s">
        <v>6</v>
      </c>
      <c r="E12" s="1">
        <v>3</v>
      </c>
      <c r="F12" s="21" t="s">
        <v>10</v>
      </c>
      <c r="J12" s="7" t="s">
        <v>14</v>
      </c>
      <c r="K12" s="8">
        <v>37</v>
      </c>
    </row>
    <row r="13" spans="1:11" ht="16.5" thickBot="1" x14ac:dyDescent="0.3">
      <c r="A13" s="10">
        <v>12</v>
      </c>
      <c r="B13" s="1">
        <v>50</v>
      </c>
      <c r="C13" s="1">
        <v>1</v>
      </c>
      <c r="D13" s="1" t="s">
        <v>6</v>
      </c>
      <c r="E13" s="1">
        <v>2</v>
      </c>
      <c r="F13" s="21" t="s">
        <v>7</v>
      </c>
      <c r="J13" s="7" t="s">
        <v>18</v>
      </c>
      <c r="K13" s="8">
        <v>6.0830000000000002</v>
      </c>
    </row>
    <row r="14" spans="1:11" x14ac:dyDescent="0.25">
      <c r="A14" s="10">
        <v>13</v>
      </c>
      <c r="B14" s="1">
        <v>39</v>
      </c>
      <c r="C14" s="1">
        <v>1</v>
      </c>
      <c r="D14" s="1" t="s">
        <v>6</v>
      </c>
      <c r="E14" s="1">
        <v>1</v>
      </c>
      <c r="F14" s="21" t="s">
        <v>9</v>
      </c>
    </row>
    <row r="15" spans="1:11" x14ac:dyDescent="0.25">
      <c r="A15" s="10">
        <v>14</v>
      </c>
      <c r="B15" s="1">
        <v>36</v>
      </c>
      <c r="C15" s="1">
        <v>1</v>
      </c>
      <c r="D15" s="1" t="s">
        <v>6</v>
      </c>
      <c r="E15" s="1">
        <v>2</v>
      </c>
      <c r="F15" s="21" t="s">
        <v>7</v>
      </c>
    </row>
    <row r="16" spans="1:11" ht="16.5" thickBot="1" x14ac:dyDescent="0.3">
      <c r="A16" s="10">
        <v>15</v>
      </c>
      <c r="B16" s="1">
        <v>34</v>
      </c>
      <c r="C16" s="1">
        <v>1</v>
      </c>
      <c r="D16" s="1" t="s">
        <v>6</v>
      </c>
      <c r="E16" s="1">
        <v>2</v>
      </c>
      <c r="F16" s="21" t="s">
        <v>7</v>
      </c>
      <c r="J16" s="4" t="s">
        <v>19</v>
      </c>
    </row>
    <row r="17" spans="1:11" ht="16.5" thickBot="1" x14ac:dyDescent="0.3">
      <c r="A17" s="10">
        <v>16</v>
      </c>
      <c r="B17" s="1">
        <v>45</v>
      </c>
      <c r="C17" s="1">
        <v>0</v>
      </c>
      <c r="D17" s="1" t="s">
        <v>8</v>
      </c>
      <c r="E17" s="1">
        <v>3</v>
      </c>
      <c r="F17" s="21" t="s">
        <v>10</v>
      </c>
      <c r="J17" s="5" t="s">
        <v>20</v>
      </c>
      <c r="K17" s="6" t="s">
        <v>16</v>
      </c>
    </row>
    <row r="18" spans="1:11" ht="16.5" thickBot="1" x14ac:dyDescent="0.3">
      <c r="A18" s="10">
        <v>17</v>
      </c>
      <c r="B18" s="1">
        <v>48</v>
      </c>
      <c r="C18" s="1">
        <v>1</v>
      </c>
      <c r="D18" s="1" t="s">
        <v>6</v>
      </c>
      <c r="E18" s="1">
        <v>1</v>
      </c>
      <c r="F18" s="21" t="s">
        <v>9</v>
      </c>
      <c r="J18" s="7" t="s">
        <v>17</v>
      </c>
      <c r="K18" s="8">
        <v>39.69</v>
      </c>
    </row>
    <row r="19" spans="1:11" ht="16.5" thickBot="1" x14ac:dyDescent="0.3">
      <c r="A19" s="10">
        <v>18</v>
      </c>
      <c r="B19" s="1">
        <v>39</v>
      </c>
      <c r="C19" s="1">
        <v>1</v>
      </c>
      <c r="D19" s="1" t="s">
        <v>6</v>
      </c>
      <c r="E19" s="1">
        <v>1</v>
      </c>
      <c r="F19" s="21" t="s">
        <v>9</v>
      </c>
      <c r="J19" s="7" t="s">
        <v>14</v>
      </c>
      <c r="K19" s="8">
        <v>36.93</v>
      </c>
    </row>
    <row r="20" spans="1:11" ht="16.5" thickBot="1" x14ac:dyDescent="0.3">
      <c r="A20" s="10">
        <v>19</v>
      </c>
      <c r="B20" s="1">
        <v>48</v>
      </c>
      <c r="C20" s="1">
        <v>0</v>
      </c>
      <c r="D20" s="1" t="s">
        <v>8</v>
      </c>
      <c r="E20" s="1">
        <v>1</v>
      </c>
      <c r="F20" s="21" t="s">
        <v>9</v>
      </c>
      <c r="J20" s="7" t="s">
        <v>18</v>
      </c>
      <c r="K20" s="8">
        <v>6.0780000000000003</v>
      </c>
    </row>
    <row r="21" spans="1:11" x14ac:dyDescent="0.25">
      <c r="A21" s="10">
        <v>20</v>
      </c>
      <c r="B21" s="1">
        <v>44</v>
      </c>
      <c r="C21" s="1">
        <v>0</v>
      </c>
      <c r="D21" s="1" t="s">
        <v>8</v>
      </c>
      <c r="E21" s="1">
        <v>3</v>
      </c>
      <c r="F21" s="21" t="s">
        <v>10</v>
      </c>
    </row>
    <row r="22" spans="1:11" x14ac:dyDescent="0.25">
      <c r="A22" s="10">
        <v>21</v>
      </c>
      <c r="B22" s="1">
        <v>47</v>
      </c>
      <c r="C22" s="1">
        <v>0</v>
      </c>
      <c r="D22" s="1" t="s">
        <v>8</v>
      </c>
      <c r="E22" s="1">
        <v>3</v>
      </c>
      <c r="F22" s="21" t="s">
        <v>10</v>
      </c>
    </row>
    <row r="23" spans="1:11" x14ac:dyDescent="0.25">
      <c r="A23" s="10">
        <v>22</v>
      </c>
      <c r="B23" s="1">
        <v>33</v>
      </c>
      <c r="C23" s="1">
        <v>0</v>
      </c>
      <c r="D23" s="1" t="s">
        <v>8</v>
      </c>
      <c r="E23" s="1">
        <v>3</v>
      </c>
      <c r="F23" s="21" t="s">
        <v>10</v>
      </c>
    </row>
    <row r="24" spans="1:11" x14ac:dyDescent="0.25">
      <c r="A24" s="10">
        <v>23</v>
      </c>
      <c r="B24" s="1">
        <v>41</v>
      </c>
      <c r="C24" s="1">
        <v>1</v>
      </c>
      <c r="D24" s="1" t="s">
        <v>6</v>
      </c>
      <c r="E24" s="1">
        <v>1</v>
      </c>
      <c r="F24" s="21" t="s">
        <v>9</v>
      </c>
    </row>
    <row r="25" spans="1:11" x14ac:dyDescent="0.25">
      <c r="A25" s="10">
        <v>24</v>
      </c>
      <c r="B25" s="1">
        <v>34</v>
      </c>
      <c r="C25" s="1">
        <v>1</v>
      </c>
      <c r="D25" s="1" t="s">
        <v>6</v>
      </c>
      <c r="E25" s="1">
        <v>2</v>
      </c>
      <c r="F25" s="21" t="s">
        <v>7</v>
      </c>
    </row>
    <row r="26" spans="1:11" x14ac:dyDescent="0.25">
      <c r="A26" s="10">
        <v>25</v>
      </c>
      <c r="B26" s="1">
        <v>47</v>
      </c>
      <c r="C26" s="1">
        <v>1</v>
      </c>
      <c r="D26" s="1" t="s">
        <v>6</v>
      </c>
      <c r="E26" s="1">
        <v>2</v>
      </c>
      <c r="F26" s="21" t="s">
        <v>7</v>
      </c>
    </row>
    <row r="27" spans="1:11" x14ac:dyDescent="0.25">
      <c r="A27" s="10">
        <v>26</v>
      </c>
      <c r="B27" s="1">
        <v>31</v>
      </c>
      <c r="C27" s="1">
        <v>0</v>
      </c>
      <c r="D27" s="1" t="s">
        <v>8</v>
      </c>
      <c r="E27" s="1">
        <v>1</v>
      </c>
      <c r="F27" s="21" t="s">
        <v>9</v>
      </c>
    </row>
    <row r="28" spans="1:11" x14ac:dyDescent="0.25">
      <c r="A28" s="10">
        <v>27</v>
      </c>
      <c r="B28" s="1">
        <v>46</v>
      </c>
      <c r="C28" s="1">
        <v>0</v>
      </c>
      <c r="D28" s="1" t="s">
        <v>8</v>
      </c>
      <c r="E28" s="1">
        <v>3</v>
      </c>
      <c r="F28" s="21" t="s">
        <v>10</v>
      </c>
    </row>
    <row r="29" spans="1:11" x14ac:dyDescent="0.25">
      <c r="A29" s="10">
        <v>28</v>
      </c>
      <c r="B29" s="1">
        <v>50</v>
      </c>
      <c r="C29" s="1">
        <v>0</v>
      </c>
      <c r="D29" s="1" t="s">
        <v>8</v>
      </c>
      <c r="E29" s="1">
        <v>1</v>
      </c>
      <c r="F29" s="21" t="s">
        <v>9</v>
      </c>
    </row>
    <row r="30" spans="1:11" x14ac:dyDescent="0.25">
      <c r="A30" s="10">
        <v>29</v>
      </c>
      <c r="B30" s="1">
        <v>35</v>
      </c>
      <c r="C30" s="1">
        <v>1</v>
      </c>
      <c r="D30" s="1" t="s">
        <v>6</v>
      </c>
      <c r="E30" s="1">
        <v>2</v>
      </c>
      <c r="F30" s="21" t="s">
        <v>7</v>
      </c>
    </row>
    <row r="31" spans="1:11" x14ac:dyDescent="0.25">
      <c r="A31" s="10">
        <v>30</v>
      </c>
      <c r="B31" s="1">
        <v>30</v>
      </c>
      <c r="C31" s="1">
        <v>1</v>
      </c>
      <c r="D31" s="1" t="s">
        <v>6</v>
      </c>
      <c r="E31" s="1">
        <v>2</v>
      </c>
      <c r="F31" s="21" t="s">
        <v>7</v>
      </c>
    </row>
    <row r="32" spans="1:11" x14ac:dyDescent="0.25">
      <c r="A32" s="10">
        <v>31</v>
      </c>
      <c r="B32" s="1">
        <v>35</v>
      </c>
      <c r="C32" s="1">
        <v>1</v>
      </c>
      <c r="D32" s="1" t="s">
        <v>6</v>
      </c>
      <c r="E32" s="1">
        <v>2</v>
      </c>
      <c r="F32" s="21" t="s">
        <v>7</v>
      </c>
    </row>
    <row r="33" spans="1:6" x14ac:dyDescent="0.25">
      <c r="A33" s="10">
        <v>32</v>
      </c>
      <c r="B33" s="1">
        <v>38</v>
      </c>
      <c r="C33" s="1">
        <v>0</v>
      </c>
      <c r="D33" s="1" t="s">
        <v>8</v>
      </c>
      <c r="E33" s="1">
        <v>2</v>
      </c>
      <c r="F33" s="21" t="s">
        <v>7</v>
      </c>
    </row>
    <row r="34" spans="1:6" x14ac:dyDescent="0.25">
      <c r="A34" s="10">
        <v>33</v>
      </c>
      <c r="B34" s="1">
        <v>30</v>
      </c>
      <c r="C34" s="1">
        <v>1</v>
      </c>
      <c r="D34" s="1" t="s">
        <v>6</v>
      </c>
      <c r="E34" s="1">
        <v>3</v>
      </c>
      <c r="F34" s="21" t="s">
        <v>10</v>
      </c>
    </row>
    <row r="35" spans="1:6" x14ac:dyDescent="0.25">
      <c r="A35" s="10">
        <v>34</v>
      </c>
      <c r="B35" s="1">
        <v>43</v>
      </c>
      <c r="C35" s="1">
        <v>1</v>
      </c>
      <c r="D35" s="1" t="s">
        <v>6</v>
      </c>
      <c r="E35" s="1">
        <v>1</v>
      </c>
      <c r="F35" s="21" t="s">
        <v>9</v>
      </c>
    </row>
    <row r="36" spans="1:6" x14ac:dyDescent="0.25">
      <c r="A36" s="10">
        <v>35</v>
      </c>
      <c r="B36" s="1">
        <v>40</v>
      </c>
      <c r="C36" s="1">
        <v>1</v>
      </c>
      <c r="D36" s="1" t="s">
        <v>6</v>
      </c>
      <c r="E36" s="1">
        <v>2</v>
      </c>
      <c r="F36" s="21" t="s">
        <v>7</v>
      </c>
    </row>
    <row r="37" spans="1:6" x14ac:dyDescent="0.25">
      <c r="A37" s="10">
        <v>36</v>
      </c>
      <c r="B37" s="1">
        <v>34</v>
      </c>
      <c r="C37" s="1">
        <v>1</v>
      </c>
      <c r="D37" s="1" t="s">
        <v>6</v>
      </c>
      <c r="E37" s="1">
        <v>1</v>
      </c>
      <c r="F37" s="21" t="s">
        <v>9</v>
      </c>
    </row>
    <row r="38" spans="1:6" x14ac:dyDescent="0.25">
      <c r="A38" s="10">
        <v>37</v>
      </c>
      <c r="B38" s="1">
        <v>32</v>
      </c>
      <c r="C38" s="1">
        <v>0</v>
      </c>
      <c r="D38" s="1" t="s">
        <v>8</v>
      </c>
      <c r="E38" s="1">
        <v>2</v>
      </c>
      <c r="F38" s="21" t="s">
        <v>7</v>
      </c>
    </row>
    <row r="39" spans="1:6" x14ac:dyDescent="0.25">
      <c r="A39" s="10">
        <v>38</v>
      </c>
      <c r="B39" s="1">
        <v>40</v>
      </c>
      <c r="C39" s="1">
        <v>0</v>
      </c>
      <c r="D39" s="1" t="s">
        <v>8</v>
      </c>
      <c r="E39" s="1">
        <v>3</v>
      </c>
      <c r="F39" s="21" t="s">
        <v>10</v>
      </c>
    </row>
    <row r="40" spans="1:6" x14ac:dyDescent="0.25">
      <c r="A40" s="10">
        <v>39</v>
      </c>
      <c r="B40" s="1">
        <v>42</v>
      </c>
      <c r="C40" s="1">
        <v>0</v>
      </c>
      <c r="D40" s="1" t="s">
        <v>8</v>
      </c>
      <c r="E40" s="1">
        <v>3</v>
      </c>
      <c r="F40" s="21" t="s">
        <v>10</v>
      </c>
    </row>
    <row r="41" spans="1:6" x14ac:dyDescent="0.25">
      <c r="A41" s="10">
        <v>40</v>
      </c>
      <c r="B41" s="1">
        <v>30</v>
      </c>
      <c r="C41" s="1">
        <v>1</v>
      </c>
      <c r="D41" s="1" t="s">
        <v>6</v>
      </c>
      <c r="E41" s="1">
        <v>1</v>
      </c>
      <c r="F41" s="21" t="s">
        <v>9</v>
      </c>
    </row>
    <row r="42" spans="1:6" x14ac:dyDescent="0.25">
      <c r="A42" s="10">
        <v>41</v>
      </c>
      <c r="B42" s="1">
        <v>47</v>
      </c>
      <c r="C42" s="1">
        <v>1</v>
      </c>
      <c r="D42" s="1" t="s">
        <v>6</v>
      </c>
      <c r="E42" s="1">
        <v>2</v>
      </c>
      <c r="F42" s="21" t="s">
        <v>7</v>
      </c>
    </row>
    <row r="43" spans="1:6" x14ac:dyDescent="0.25">
      <c r="A43" s="10">
        <v>42</v>
      </c>
      <c r="B43" s="1">
        <v>35</v>
      </c>
      <c r="C43" s="1">
        <v>0</v>
      </c>
      <c r="D43" s="1" t="s">
        <v>8</v>
      </c>
      <c r="E43" s="1">
        <v>3</v>
      </c>
      <c r="F43" s="21" t="s">
        <v>10</v>
      </c>
    </row>
    <row r="44" spans="1:6" x14ac:dyDescent="0.25">
      <c r="A44" s="10">
        <v>43</v>
      </c>
      <c r="B44" s="1">
        <v>38</v>
      </c>
      <c r="C44" s="1">
        <v>0</v>
      </c>
      <c r="D44" s="1" t="s">
        <v>8</v>
      </c>
      <c r="E44" s="1">
        <v>1</v>
      </c>
      <c r="F44" s="21" t="s">
        <v>9</v>
      </c>
    </row>
    <row r="45" spans="1:6" x14ac:dyDescent="0.25">
      <c r="A45" s="10">
        <v>44</v>
      </c>
      <c r="B45" s="1">
        <v>33</v>
      </c>
      <c r="C45" s="1">
        <v>0</v>
      </c>
      <c r="D45" s="1" t="s">
        <v>8</v>
      </c>
      <c r="E45" s="1">
        <v>3</v>
      </c>
      <c r="F45" s="21" t="s">
        <v>10</v>
      </c>
    </row>
    <row r="46" spans="1:6" x14ac:dyDescent="0.25">
      <c r="A46" s="10">
        <v>45</v>
      </c>
      <c r="B46" s="1">
        <v>42</v>
      </c>
      <c r="C46" s="1">
        <v>1</v>
      </c>
      <c r="D46" s="1" t="s">
        <v>6</v>
      </c>
      <c r="E46" s="1">
        <v>2</v>
      </c>
      <c r="F46" s="21" t="s">
        <v>7</v>
      </c>
    </row>
    <row r="47" spans="1:6" x14ac:dyDescent="0.25">
      <c r="A47" s="10">
        <v>46</v>
      </c>
      <c r="B47" s="1">
        <v>33</v>
      </c>
      <c r="C47" s="1">
        <v>0</v>
      </c>
      <c r="D47" s="1" t="s">
        <v>8</v>
      </c>
      <c r="E47" s="1">
        <v>3</v>
      </c>
      <c r="F47" s="21" t="s">
        <v>10</v>
      </c>
    </row>
    <row r="48" spans="1:6" x14ac:dyDescent="0.25">
      <c r="A48" s="10">
        <v>47</v>
      </c>
      <c r="B48" s="1">
        <v>50</v>
      </c>
      <c r="C48" s="1">
        <v>0</v>
      </c>
      <c r="D48" s="1" t="s">
        <v>8</v>
      </c>
      <c r="E48" s="1">
        <v>3</v>
      </c>
      <c r="F48" s="21" t="s">
        <v>10</v>
      </c>
    </row>
    <row r="49" spans="1:6" x14ac:dyDescent="0.25">
      <c r="A49" s="10">
        <v>48</v>
      </c>
      <c r="B49" s="1">
        <v>33</v>
      </c>
      <c r="C49" s="1">
        <v>0</v>
      </c>
      <c r="D49" s="1" t="s">
        <v>8</v>
      </c>
      <c r="E49" s="1">
        <v>3</v>
      </c>
      <c r="F49" s="21" t="s">
        <v>10</v>
      </c>
    </row>
    <row r="50" spans="1:6" x14ac:dyDescent="0.25">
      <c r="A50" s="10">
        <v>49</v>
      </c>
      <c r="B50" s="1">
        <v>34</v>
      </c>
      <c r="C50" s="1">
        <v>0</v>
      </c>
      <c r="D50" s="1" t="s">
        <v>8</v>
      </c>
      <c r="E50" s="1">
        <v>1</v>
      </c>
      <c r="F50" s="21" t="s">
        <v>9</v>
      </c>
    </row>
    <row r="51" spans="1:6" x14ac:dyDescent="0.25">
      <c r="A51" s="10">
        <v>50</v>
      </c>
      <c r="B51" s="1">
        <v>48</v>
      </c>
      <c r="C51" s="1">
        <v>0</v>
      </c>
      <c r="D51" s="1" t="s">
        <v>8</v>
      </c>
      <c r="E51" s="1">
        <v>1</v>
      </c>
      <c r="F51" s="21" t="s">
        <v>9</v>
      </c>
    </row>
    <row r="52" spans="1:6" x14ac:dyDescent="0.25">
      <c r="A52" s="10">
        <v>51</v>
      </c>
      <c r="B52" s="1">
        <v>34</v>
      </c>
      <c r="C52" s="1">
        <v>1</v>
      </c>
      <c r="D52" s="1" t="s">
        <v>6</v>
      </c>
      <c r="E52" s="1">
        <v>1</v>
      </c>
      <c r="F52" s="21" t="s">
        <v>9</v>
      </c>
    </row>
    <row r="53" spans="1:6" x14ac:dyDescent="0.25">
      <c r="A53" s="10">
        <v>52</v>
      </c>
      <c r="B53" s="1">
        <v>39</v>
      </c>
      <c r="C53" s="1">
        <v>1</v>
      </c>
      <c r="D53" s="1" t="s">
        <v>6</v>
      </c>
      <c r="E53" s="1">
        <v>1</v>
      </c>
      <c r="F53" s="21" t="s">
        <v>9</v>
      </c>
    </row>
    <row r="54" spans="1:6" x14ac:dyDescent="0.25">
      <c r="A54" s="10">
        <v>53</v>
      </c>
      <c r="B54" s="1">
        <v>30</v>
      </c>
      <c r="C54" s="1">
        <v>1</v>
      </c>
      <c r="D54" s="1" t="s">
        <v>6</v>
      </c>
      <c r="E54" s="1">
        <v>3</v>
      </c>
      <c r="F54" s="21" t="s">
        <v>10</v>
      </c>
    </row>
    <row r="55" spans="1:6" x14ac:dyDescent="0.25">
      <c r="A55" s="10">
        <v>54</v>
      </c>
      <c r="B55" s="1">
        <v>35</v>
      </c>
      <c r="C55" s="1">
        <v>1</v>
      </c>
      <c r="D55" s="1" t="s">
        <v>6</v>
      </c>
      <c r="E55" s="1">
        <v>1</v>
      </c>
      <c r="F55" s="21" t="s">
        <v>9</v>
      </c>
    </row>
    <row r="56" spans="1:6" x14ac:dyDescent="0.25">
      <c r="A56" s="10">
        <v>55</v>
      </c>
      <c r="B56" s="1">
        <v>35</v>
      </c>
      <c r="C56" s="1">
        <v>0</v>
      </c>
      <c r="D56" s="1" t="s">
        <v>8</v>
      </c>
      <c r="E56" s="1">
        <v>2</v>
      </c>
      <c r="F56" s="21" t="s">
        <v>7</v>
      </c>
    </row>
    <row r="57" spans="1:6" x14ac:dyDescent="0.25">
      <c r="A57" s="10">
        <v>56</v>
      </c>
      <c r="B57" s="1">
        <v>47</v>
      </c>
      <c r="C57" s="1">
        <v>1</v>
      </c>
      <c r="D57" s="1" t="s">
        <v>6</v>
      </c>
      <c r="E57" s="1">
        <v>1</v>
      </c>
      <c r="F57" s="21" t="s">
        <v>9</v>
      </c>
    </row>
    <row r="58" spans="1:6" x14ac:dyDescent="0.25">
      <c r="A58" s="10">
        <v>57</v>
      </c>
      <c r="B58" s="1">
        <v>41</v>
      </c>
      <c r="C58" s="1">
        <v>1</v>
      </c>
      <c r="D58" s="1" t="s">
        <v>6</v>
      </c>
      <c r="E58" s="1">
        <v>3</v>
      </c>
      <c r="F58" s="21" t="s">
        <v>10</v>
      </c>
    </row>
    <row r="59" spans="1:6" x14ac:dyDescent="0.25">
      <c r="A59" s="10">
        <v>58</v>
      </c>
      <c r="B59" s="1">
        <v>41</v>
      </c>
      <c r="C59" s="1">
        <v>0</v>
      </c>
      <c r="D59" s="1" t="s">
        <v>8</v>
      </c>
      <c r="E59" s="1">
        <v>2</v>
      </c>
      <c r="F59" s="21" t="s">
        <v>7</v>
      </c>
    </row>
    <row r="60" spans="1:6" x14ac:dyDescent="0.25">
      <c r="A60" s="10">
        <v>59</v>
      </c>
      <c r="B60" s="1">
        <v>50</v>
      </c>
      <c r="C60" s="1">
        <v>1</v>
      </c>
      <c r="D60" s="1" t="s">
        <v>6</v>
      </c>
      <c r="E60" s="1">
        <v>2</v>
      </c>
      <c r="F60" s="21" t="s">
        <v>7</v>
      </c>
    </row>
    <row r="61" spans="1:6" x14ac:dyDescent="0.25">
      <c r="A61" s="10">
        <v>60</v>
      </c>
      <c r="B61" s="1">
        <v>47</v>
      </c>
      <c r="C61" s="1">
        <v>0</v>
      </c>
      <c r="D61" s="1" t="s">
        <v>8</v>
      </c>
      <c r="E61" s="1">
        <v>2</v>
      </c>
      <c r="F61" s="21" t="s">
        <v>7</v>
      </c>
    </row>
    <row r="62" spans="1:6" x14ac:dyDescent="0.25">
      <c r="A62" s="10">
        <v>61</v>
      </c>
      <c r="B62" s="1">
        <v>43</v>
      </c>
      <c r="C62" s="1">
        <v>1</v>
      </c>
      <c r="D62" s="1" t="s">
        <v>6</v>
      </c>
      <c r="E62" s="1">
        <v>1</v>
      </c>
      <c r="F62" s="21" t="s">
        <v>9</v>
      </c>
    </row>
    <row r="63" spans="1:6" x14ac:dyDescent="0.25">
      <c r="A63" s="10">
        <v>62</v>
      </c>
      <c r="B63" s="1">
        <v>39</v>
      </c>
      <c r="C63" s="1">
        <v>0</v>
      </c>
      <c r="D63" s="1" t="s">
        <v>8</v>
      </c>
      <c r="E63" s="1">
        <v>3</v>
      </c>
      <c r="F63" s="21" t="s">
        <v>10</v>
      </c>
    </row>
    <row r="64" spans="1:6" x14ac:dyDescent="0.25">
      <c r="A64" s="10">
        <v>63</v>
      </c>
      <c r="B64" s="1">
        <v>33</v>
      </c>
      <c r="C64" s="1">
        <v>0</v>
      </c>
      <c r="D64" s="1" t="s">
        <v>8</v>
      </c>
      <c r="E64" s="1">
        <v>2</v>
      </c>
      <c r="F64" s="21" t="s">
        <v>7</v>
      </c>
    </row>
    <row r="65" spans="1:6" x14ac:dyDescent="0.25">
      <c r="A65" s="10">
        <v>64</v>
      </c>
      <c r="B65" s="1">
        <v>40</v>
      </c>
      <c r="C65" s="1">
        <v>0</v>
      </c>
      <c r="D65" s="1" t="s">
        <v>8</v>
      </c>
      <c r="E65" s="1">
        <v>3</v>
      </c>
      <c r="F65" s="21" t="s">
        <v>10</v>
      </c>
    </row>
    <row r="66" spans="1:6" x14ac:dyDescent="0.25">
      <c r="A66" s="10">
        <v>65</v>
      </c>
      <c r="B66" s="1">
        <v>37</v>
      </c>
      <c r="C66" s="1">
        <v>1</v>
      </c>
      <c r="D66" s="1" t="s">
        <v>6</v>
      </c>
      <c r="E66" s="1">
        <v>1</v>
      </c>
      <c r="F66" s="21" t="s">
        <v>9</v>
      </c>
    </row>
    <row r="67" spans="1:6" x14ac:dyDescent="0.25">
      <c r="A67" s="10">
        <v>66</v>
      </c>
      <c r="B67" s="1">
        <v>43</v>
      </c>
      <c r="C67" s="1">
        <v>1</v>
      </c>
      <c r="D67" s="1" t="s">
        <v>6</v>
      </c>
      <c r="E67" s="1">
        <v>2</v>
      </c>
      <c r="F67" s="21" t="s">
        <v>7</v>
      </c>
    </row>
    <row r="68" spans="1:6" x14ac:dyDescent="0.25">
      <c r="A68" s="10">
        <v>67</v>
      </c>
      <c r="B68" s="1">
        <v>45</v>
      </c>
      <c r="C68" s="1">
        <v>1</v>
      </c>
      <c r="D68" s="1" t="s">
        <v>6</v>
      </c>
      <c r="E68" s="1">
        <v>1</v>
      </c>
      <c r="F68" s="21" t="s">
        <v>9</v>
      </c>
    </row>
    <row r="69" spans="1:6" x14ac:dyDescent="0.25">
      <c r="A69" s="10">
        <v>68</v>
      </c>
      <c r="B69" s="1">
        <v>38</v>
      </c>
      <c r="C69" s="1">
        <v>0</v>
      </c>
      <c r="D69" s="1" t="s">
        <v>8</v>
      </c>
      <c r="E69" s="1">
        <v>1</v>
      </c>
      <c r="F69" s="21" t="s">
        <v>9</v>
      </c>
    </row>
    <row r="70" spans="1:6" x14ac:dyDescent="0.25">
      <c r="A70" s="10">
        <v>69</v>
      </c>
      <c r="B70" s="1">
        <v>34</v>
      </c>
      <c r="C70" s="1">
        <v>0</v>
      </c>
      <c r="D70" s="1" t="s">
        <v>8</v>
      </c>
      <c r="E70" s="1">
        <v>2</v>
      </c>
      <c r="F70" s="21" t="s">
        <v>7</v>
      </c>
    </row>
    <row r="71" spans="1:6" x14ac:dyDescent="0.25">
      <c r="A71" s="10">
        <v>70</v>
      </c>
      <c r="B71" s="1">
        <v>44</v>
      </c>
      <c r="C71" s="1">
        <v>0</v>
      </c>
      <c r="D71" s="1" t="s">
        <v>8</v>
      </c>
      <c r="E71" s="1">
        <v>3</v>
      </c>
      <c r="F71" s="21" t="s">
        <v>10</v>
      </c>
    </row>
    <row r="72" spans="1:6" x14ac:dyDescent="0.25">
      <c r="A72" s="10">
        <v>71</v>
      </c>
      <c r="B72" s="1">
        <v>39</v>
      </c>
      <c r="C72" s="1">
        <v>0</v>
      </c>
      <c r="D72" s="1" t="s">
        <v>8</v>
      </c>
      <c r="E72" s="1">
        <v>3</v>
      </c>
      <c r="F72" s="21" t="s">
        <v>10</v>
      </c>
    </row>
    <row r="73" spans="1:6" x14ac:dyDescent="0.25">
      <c r="A73" s="10">
        <v>72</v>
      </c>
      <c r="B73" s="1">
        <v>42</v>
      </c>
      <c r="C73" s="1">
        <v>1</v>
      </c>
      <c r="D73" s="1" t="s">
        <v>6</v>
      </c>
      <c r="E73" s="1">
        <v>3</v>
      </c>
      <c r="F73" s="21" t="s">
        <v>10</v>
      </c>
    </row>
    <row r="74" spans="1:6" x14ac:dyDescent="0.25">
      <c r="A74" s="10">
        <v>73</v>
      </c>
      <c r="B74" s="1">
        <v>38</v>
      </c>
      <c r="C74" s="1">
        <v>0</v>
      </c>
      <c r="D74" s="1" t="s">
        <v>8</v>
      </c>
      <c r="E74" s="1">
        <v>2</v>
      </c>
      <c r="F74" s="21" t="s">
        <v>7</v>
      </c>
    </row>
    <row r="75" spans="1:6" x14ac:dyDescent="0.25">
      <c r="A75" s="10">
        <v>74</v>
      </c>
      <c r="B75" s="1">
        <v>37</v>
      </c>
      <c r="C75" s="1">
        <v>0</v>
      </c>
      <c r="D75" s="1" t="s">
        <v>8</v>
      </c>
      <c r="E75" s="1">
        <v>1</v>
      </c>
      <c r="F75" s="21" t="s">
        <v>9</v>
      </c>
    </row>
    <row r="76" spans="1:6" x14ac:dyDescent="0.25">
      <c r="A76" s="10">
        <v>75</v>
      </c>
      <c r="B76" s="1">
        <v>47</v>
      </c>
      <c r="C76" s="1">
        <v>0</v>
      </c>
      <c r="D76" s="1" t="s">
        <v>8</v>
      </c>
      <c r="E76" s="1">
        <v>3</v>
      </c>
      <c r="F76" s="21" t="s">
        <v>10</v>
      </c>
    </row>
    <row r="77" spans="1:6" x14ac:dyDescent="0.25">
      <c r="A77" s="10">
        <v>76</v>
      </c>
      <c r="B77" s="1">
        <v>41</v>
      </c>
      <c r="C77" s="1">
        <v>1</v>
      </c>
      <c r="D77" s="1" t="s">
        <v>6</v>
      </c>
      <c r="E77" s="1">
        <v>1</v>
      </c>
      <c r="F77" s="21" t="s">
        <v>9</v>
      </c>
    </row>
    <row r="78" spans="1:6" x14ac:dyDescent="0.25">
      <c r="A78" s="10">
        <v>77</v>
      </c>
      <c r="B78" s="1">
        <v>39</v>
      </c>
      <c r="C78" s="1">
        <v>1</v>
      </c>
      <c r="D78" s="1" t="s">
        <v>6</v>
      </c>
      <c r="E78" s="1">
        <v>2</v>
      </c>
      <c r="F78" s="21" t="s">
        <v>7</v>
      </c>
    </row>
    <row r="79" spans="1:6" x14ac:dyDescent="0.25">
      <c r="A79" s="10">
        <v>78</v>
      </c>
      <c r="B79" s="1">
        <v>44</v>
      </c>
      <c r="C79" s="1">
        <v>1</v>
      </c>
      <c r="D79" s="1" t="s">
        <v>6</v>
      </c>
      <c r="E79" s="1">
        <v>1</v>
      </c>
      <c r="F79" s="21" t="s">
        <v>9</v>
      </c>
    </row>
    <row r="80" spans="1:6" x14ac:dyDescent="0.25">
      <c r="A80" s="10">
        <v>79</v>
      </c>
      <c r="B80" s="1">
        <v>38</v>
      </c>
      <c r="C80" s="1">
        <v>0</v>
      </c>
      <c r="D80" s="1" t="s">
        <v>8</v>
      </c>
      <c r="E80" s="1">
        <v>3</v>
      </c>
      <c r="F80" s="21" t="s">
        <v>10</v>
      </c>
    </row>
    <row r="81" spans="1:6" x14ac:dyDescent="0.25">
      <c r="A81" s="10">
        <v>80</v>
      </c>
      <c r="B81" s="1">
        <v>31</v>
      </c>
      <c r="C81" s="1">
        <v>0</v>
      </c>
      <c r="D81" s="1" t="s">
        <v>8</v>
      </c>
      <c r="E81" s="1">
        <v>3</v>
      </c>
      <c r="F81" s="21" t="s">
        <v>10</v>
      </c>
    </row>
    <row r="82" spans="1:6" x14ac:dyDescent="0.25">
      <c r="A82" s="10">
        <v>81</v>
      </c>
      <c r="B82" s="1">
        <v>34</v>
      </c>
      <c r="C82" s="1">
        <v>1</v>
      </c>
      <c r="D82" s="1" t="s">
        <v>6</v>
      </c>
      <c r="E82" s="1">
        <v>1</v>
      </c>
      <c r="F82" s="21" t="s">
        <v>9</v>
      </c>
    </row>
    <row r="83" spans="1:6" x14ac:dyDescent="0.25">
      <c r="A83" s="10">
        <v>82</v>
      </c>
      <c r="B83" s="1">
        <v>39</v>
      </c>
      <c r="C83" s="1">
        <v>0</v>
      </c>
      <c r="D83" s="1" t="s">
        <v>8</v>
      </c>
      <c r="E83" s="1">
        <v>2</v>
      </c>
      <c r="F83" s="21" t="s">
        <v>7</v>
      </c>
    </row>
    <row r="84" spans="1:6" x14ac:dyDescent="0.25">
      <c r="A84" s="10">
        <v>83</v>
      </c>
      <c r="B84" s="1">
        <v>39</v>
      </c>
      <c r="C84" s="1">
        <v>0</v>
      </c>
      <c r="D84" s="1" t="s">
        <v>8</v>
      </c>
      <c r="E84" s="1">
        <v>2</v>
      </c>
      <c r="F84" s="21" t="s">
        <v>7</v>
      </c>
    </row>
    <row r="85" spans="1:6" x14ac:dyDescent="0.25">
      <c r="A85" s="10">
        <v>84</v>
      </c>
      <c r="B85" s="1">
        <v>31</v>
      </c>
      <c r="C85" s="1">
        <v>0</v>
      </c>
      <c r="D85" s="1" t="s">
        <v>8</v>
      </c>
      <c r="E85" s="1">
        <v>3</v>
      </c>
      <c r="F85" s="21" t="s">
        <v>10</v>
      </c>
    </row>
    <row r="86" spans="1:6" x14ac:dyDescent="0.25">
      <c r="A86" s="10">
        <v>85</v>
      </c>
      <c r="B86" s="1">
        <v>39</v>
      </c>
      <c r="C86" s="1">
        <v>0</v>
      </c>
      <c r="D86" s="1" t="s">
        <v>8</v>
      </c>
      <c r="E86" s="1">
        <v>3</v>
      </c>
      <c r="F86" s="21" t="s">
        <v>10</v>
      </c>
    </row>
    <row r="87" spans="1:6" x14ac:dyDescent="0.25">
      <c r="A87" s="10">
        <v>86</v>
      </c>
      <c r="B87" s="1">
        <v>50</v>
      </c>
      <c r="C87" s="1">
        <v>1</v>
      </c>
      <c r="D87" s="1" t="s">
        <v>6</v>
      </c>
      <c r="E87" s="1">
        <v>2</v>
      </c>
      <c r="F87" s="21" t="s">
        <v>7</v>
      </c>
    </row>
    <row r="88" spans="1:6" x14ac:dyDescent="0.25">
      <c r="A88" s="10">
        <v>87</v>
      </c>
      <c r="B88" s="1">
        <v>44</v>
      </c>
      <c r="C88" s="1">
        <v>0</v>
      </c>
      <c r="D88" s="1" t="s">
        <v>8</v>
      </c>
      <c r="E88" s="1">
        <v>1</v>
      </c>
      <c r="F88" s="21" t="s">
        <v>9</v>
      </c>
    </row>
    <row r="89" spans="1:6" x14ac:dyDescent="0.25">
      <c r="A89" s="10">
        <v>88</v>
      </c>
      <c r="B89" s="1">
        <v>41</v>
      </c>
      <c r="C89" s="1">
        <v>1</v>
      </c>
      <c r="D89" s="1" t="s">
        <v>6</v>
      </c>
      <c r="E89" s="1">
        <v>1</v>
      </c>
      <c r="F89" s="21" t="s">
        <v>9</v>
      </c>
    </row>
    <row r="90" spans="1:6" x14ac:dyDescent="0.25">
      <c r="A90" s="10">
        <v>89</v>
      </c>
      <c r="B90" s="1">
        <v>35</v>
      </c>
      <c r="C90" s="1">
        <v>1</v>
      </c>
      <c r="D90" s="1" t="s">
        <v>6</v>
      </c>
      <c r="E90" s="1">
        <v>1</v>
      </c>
      <c r="F90" s="21" t="s">
        <v>9</v>
      </c>
    </row>
    <row r="91" spans="1:6" x14ac:dyDescent="0.25">
      <c r="A91" s="10">
        <v>90</v>
      </c>
      <c r="B91" s="1">
        <v>38</v>
      </c>
      <c r="C91" s="1">
        <v>0</v>
      </c>
      <c r="D91" s="1" t="s">
        <v>8</v>
      </c>
      <c r="E91" s="1">
        <v>1</v>
      </c>
      <c r="F91" s="21" t="s">
        <v>9</v>
      </c>
    </row>
    <row r="92" spans="1:6" x14ac:dyDescent="0.25">
      <c r="A92" s="10">
        <v>91</v>
      </c>
      <c r="B92" s="1">
        <v>41</v>
      </c>
      <c r="C92" s="1">
        <v>1</v>
      </c>
      <c r="D92" s="1" t="s">
        <v>6</v>
      </c>
      <c r="E92" s="1">
        <v>3</v>
      </c>
      <c r="F92" s="21" t="s">
        <v>10</v>
      </c>
    </row>
    <row r="93" spans="1:6" x14ac:dyDescent="0.25">
      <c r="A93" s="10">
        <v>92</v>
      </c>
      <c r="B93" s="1">
        <v>34</v>
      </c>
      <c r="C93" s="1">
        <v>1</v>
      </c>
      <c r="D93" s="1" t="s">
        <v>6</v>
      </c>
      <c r="E93" s="1">
        <v>3</v>
      </c>
      <c r="F93" s="21" t="s">
        <v>10</v>
      </c>
    </row>
    <row r="94" spans="1:6" x14ac:dyDescent="0.25">
      <c r="A94" s="10">
        <v>93</v>
      </c>
      <c r="B94" s="1">
        <v>38</v>
      </c>
      <c r="C94" s="1">
        <v>0</v>
      </c>
      <c r="D94" s="1" t="s">
        <v>8</v>
      </c>
      <c r="E94" s="1">
        <v>1</v>
      </c>
      <c r="F94" s="21" t="s">
        <v>9</v>
      </c>
    </row>
    <row r="95" spans="1:6" x14ac:dyDescent="0.25">
      <c r="A95" s="10">
        <v>94</v>
      </c>
      <c r="B95" s="1">
        <v>33</v>
      </c>
      <c r="C95" s="1">
        <v>1</v>
      </c>
      <c r="D95" s="1" t="s">
        <v>6</v>
      </c>
      <c r="E95" s="1">
        <v>2</v>
      </c>
      <c r="F95" s="21" t="s">
        <v>7</v>
      </c>
    </row>
    <row r="96" spans="1:6" x14ac:dyDescent="0.25">
      <c r="A96" s="10">
        <v>95</v>
      </c>
      <c r="B96" s="1">
        <v>42</v>
      </c>
      <c r="C96" s="1">
        <v>1</v>
      </c>
      <c r="D96" s="1" t="s">
        <v>6</v>
      </c>
      <c r="E96" s="1">
        <v>1</v>
      </c>
      <c r="F96" s="21" t="s">
        <v>9</v>
      </c>
    </row>
    <row r="97" spans="1:6" x14ac:dyDescent="0.25">
      <c r="A97" s="10">
        <v>96</v>
      </c>
      <c r="B97" s="1">
        <v>32</v>
      </c>
      <c r="C97" s="1">
        <v>1</v>
      </c>
      <c r="D97" s="1" t="s">
        <v>6</v>
      </c>
      <c r="E97" s="1">
        <v>2</v>
      </c>
      <c r="F97" s="21" t="s">
        <v>7</v>
      </c>
    </row>
    <row r="98" spans="1:6" x14ac:dyDescent="0.25">
      <c r="A98" s="10">
        <v>97</v>
      </c>
      <c r="B98" s="1">
        <v>47</v>
      </c>
      <c r="C98" s="1">
        <v>1</v>
      </c>
      <c r="D98" s="1" t="s">
        <v>6</v>
      </c>
      <c r="E98" s="1">
        <v>3</v>
      </c>
      <c r="F98" s="21" t="s">
        <v>10</v>
      </c>
    </row>
    <row r="99" spans="1:6" x14ac:dyDescent="0.25">
      <c r="A99" s="10">
        <v>98</v>
      </c>
      <c r="B99" s="1">
        <v>35</v>
      </c>
      <c r="C99" s="1">
        <v>1</v>
      </c>
      <c r="D99" s="1" t="s">
        <v>6</v>
      </c>
      <c r="E99" s="1">
        <v>1</v>
      </c>
      <c r="F99" s="21" t="s">
        <v>9</v>
      </c>
    </row>
    <row r="100" spans="1:6" x14ac:dyDescent="0.25">
      <c r="A100" s="10">
        <v>99</v>
      </c>
      <c r="B100" s="1">
        <v>33</v>
      </c>
      <c r="C100" s="1">
        <v>0</v>
      </c>
      <c r="D100" s="1" t="s">
        <v>8</v>
      </c>
      <c r="E100" s="1">
        <v>2</v>
      </c>
      <c r="F100" s="21" t="s">
        <v>7</v>
      </c>
    </row>
    <row r="101" spans="1:6" x14ac:dyDescent="0.25">
      <c r="A101" s="10">
        <v>100</v>
      </c>
      <c r="B101" s="1">
        <v>37</v>
      </c>
      <c r="C101" s="1">
        <v>0</v>
      </c>
      <c r="D101" s="1" t="s">
        <v>8</v>
      </c>
      <c r="E101" s="1">
        <v>2</v>
      </c>
      <c r="F101" s="21" t="s">
        <v>7</v>
      </c>
    </row>
    <row r="102" spans="1:6" x14ac:dyDescent="0.25">
      <c r="A102" s="10">
        <v>101</v>
      </c>
      <c r="B102" s="1">
        <v>31</v>
      </c>
      <c r="C102" s="1">
        <v>1</v>
      </c>
      <c r="D102" s="1" t="s">
        <v>6</v>
      </c>
      <c r="E102" s="1">
        <v>1</v>
      </c>
      <c r="F102" s="21" t="s">
        <v>9</v>
      </c>
    </row>
    <row r="103" spans="1:6" x14ac:dyDescent="0.25">
      <c r="A103" s="10">
        <v>102</v>
      </c>
      <c r="B103" s="1">
        <v>45</v>
      </c>
      <c r="C103" s="1">
        <v>1</v>
      </c>
      <c r="D103" s="1" t="s">
        <v>6</v>
      </c>
      <c r="E103" s="1">
        <v>1</v>
      </c>
      <c r="F103" s="21" t="s">
        <v>9</v>
      </c>
    </row>
    <row r="104" spans="1:6" x14ac:dyDescent="0.25">
      <c r="A104" s="10">
        <v>103</v>
      </c>
      <c r="B104" s="1">
        <v>42</v>
      </c>
      <c r="C104" s="1">
        <v>0</v>
      </c>
      <c r="D104" s="1" t="s">
        <v>8</v>
      </c>
      <c r="E104" s="1">
        <v>1</v>
      </c>
      <c r="F104" s="21" t="s">
        <v>9</v>
      </c>
    </row>
    <row r="105" spans="1:6" x14ac:dyDescent="0.25">
      <c r="A105" s="10">
        <v>104</v>
      </c>
      <c r="B105" s="1">
        <v>39</v>
      </c>
      <c r="C105" s="1">
        <v>1</v>
      </c>
      <c r="D105" s="1" t="s">
        <v>6</v>
      </c>
      <c r="E105" s="1">
        <v>3</v>
      </c>
      <c r="F105" s="21" t="s">
        <v>10</v>
      </c>
    </row>
    <row r="106" spans="1:6" x14ac:dyDescent="0.25">
      <c r="A106" s="10">
        <v>105</v>
      </c>
      <c r="B106" s="1">
        <v>48</v>
      </c>
      <c r="C106" s="1">
        <v>0</v>
      </c>
      <c r="D106" s="1" t="s">
        <v>8</v>
      </c>
      <c r="E106" s="1">
        <v>3</v>
      </c>
      <c r="F106" s="21" t="s">
        <v>10</v>
      </c>
    </row>
    <row r="107" spans="1:6" x14ac:dyDescent="0.25">
      <c r="A107" s="10">
        <v>106</v>
      </c>
      <c r="B107" s="1">
        <v>43</v>
      </c>
      <c r="C107" s="1">
        <v>1</v>
      </c>
      <c r="D107" s="1" t="s">
        <v>6</v>
      </c>
      <c r="E107" s="1">
        <v>1</v>
      </c>
      <c r="F107" s="21" t="s">
        <v>9</v>
      </c>
    </row>
    <row r="108" spans="1:6" x14ac:dyDescent="0.25">
      <c r="A108" s="10">
        <v>107</v>
      </c>
      <c r="B108" s="1">
        <v>39</v>
      </c>
      <c r="C108" s="1">
        <v>1</v>
      </c>
      <c r="D108" s="1" t="s">
        <v>6</v>
      </c>
      <c r="E108" s="1">
        <v>1</v>
      </c>
      <c r="F108" s="21" t="s">
        <v>9</v>
      </c>
    </row>
    <row r="109" spans="1:6" x14ac:dyDescent="0.25">
      <c r="A109" s="10">
        <v>108</v>
      </c>
      <c r="B109" s="1">
        <v>47</v>
      </c>
      <c r="C109" s="1">
        <v>1</v>
      </c>
      <c r="D109" s="1" t="s">
        <v>6</v>
      </c>
      <c r="E109" s="1">
        <v>2</v>
      </c>
      <c r="F109" s="21" t="s">
        <v>7</v>
      </c>
    </row>
    <row r="110" spans="1:6" x14ac:dyDescent="0.25">
      <c r="A110" s="10">
        <v>109</v>
      </c>
      <c r="B110" s="1">
        <v>41</v>
      </c>
      <c r="C110" s="1">
        <v>0</v>
      </c>
      <c r="D110" s="1" t="s">
        <v>8</v>
      </c>
      <c r="E110" s="1">
        <v>1</v>
      </c>
      <c r="F110" s="21" t="s">
        <v>9</v>
      </c>
    </row>
    <row r="111" spans="1:6" x14ac:dyDescent="0.25">
      <c r="A111" s="10">
        <v>110</v>
      </c>
      <c r="B111" s="1">
        <v>50</v>
      </c>
      <c r="C111" s="1">
        <v>1</v>
      </c>
      <c r="D111" s="1" t="s">
        <v>6</v>
      </c>
      <c r="E111" s="1">
        <v>2</v>
      </c>
      <c r="F111" s="21" t="s">
        <v>7</v>
      </c>
    </row>
    <row r="112" spans="1:6" x14ac:dyDescent="0.25">
      <c r="A112" s="10">
        <v>111</v>
      </c>
      <c r="B112" s="1">
        <v>39</v>
      </c>
      <c r="C112" s="1">
        <v>0</v>
      </c>
      <c r="D112" s="1" t="s">
        <v>8</v>
      </c>
      <c r="E112" s="1">
        <v>2</v>
      </c>
      <c r="F112" s="21" t="s">
        <v>7</v>
      </c>
    </row>
    <row r="113" spans="1:6" x14ac:dyDescent="0.25">
      <c r="A113" s="10">
        <v>112</v>
      </c>
      <c r="B113" s="1">
        <v>46</v>
      </c>
      <c r="C113" s="1">
        <v>1</v>
      </c>
      <c r="D113" s="1" t="s">
        <v>6</v>
      </c>
      <c r="E113" s="1">
        <v>2</v>
      </c>
      <c r="F113" s="21" t="s">
        <v>7</v>
      </c>
    </row>
    <row r="114" spans="1:6" x14ac:dyDescent="0.25">
      <c r="A114" s="10">
        <v>113</v>
      </c>
      <c r="B114" s="1">
        <v>50</v>
      </c>
      <c r="C114" s="1">
        <v>0</v>
      </c>
      <c r="D114" s="1" t="s">
        <v>8</v>
      </c>
      <c r="E114" s="1">
        <v>3</v>
      </c>
      <c r="F114" s="21" t="s">
        <v>10</v>
      </c>
    </row>
    <row r="115" spans="1:6" x14ac:dyDescent="0.25">
      <c r="A115" s="10">
        <v>114</v>
      </c>
      <c r="B115" s="1">
        <v>46</v>
      </c>
      <c r="C115" s="1">
        <v>0</v>
      </c>
      <c r="D115" s="1" t="s">
        <v>8</v>
      </c>
      <c r="E115" s="1">
        <v>2</v>
      </c>
      <c r="F115" s="21" t="s">
        <v>7</v>
      </c>
    </row>
    <row r="116" spans="1:6" x14ac:dyDescent="0.25">
      <c r="A116" s="10">
        <v>115</v>
      </c>
      <c r="B116" s="1">
        <v>42</v>
      </c>
      <c r="C116" s="1">
        <v>0</v>
      </c>
      <c r="D116" s="1" t="s">
        <v>8</v>
      </c>
      <c r="E116" s="1">
        <v>3</v>
      </c>
      <c r="F116" s="21" t="s">
        <v>10</v>
      </c>
    </row>
    <row r="117" spans="1:6" x14ac:dyDescent="0.25">
      <c r="A117" s="10">
        <v>116</v>
      </c>
      <c r="B117" s="1">
        <v>41</v>
      </c>
      <c r="C117" s="1">
        <v>0</v>
      </c>
      <c r="D117" s="1" t="s">
        <v>8</v>
      </c>
      <c r="E117" s="1">
        <v>2</v>
      </c>
      <c r="F117" s="21" t="s">
        <v>7</v>
      </c>
    </row>
    <row r="118" spans="1:6" x14ac:dyDescent="0.25">
      <c r="A118" s="10">
        <v>117</v>
      </c>
      <c r="B118" s="1">
        <v>44</v>
      </c>
      <c r="C118" s="1">
        <v>0</v>
      </c>
      <c r="D118" s="1" t="s">
        <v>8</v>
      </c>
      <c r="E118" s="1">
        <v>3</v>
      </c>
      <c r="F118" s="21" t="s">
        <v>10</v>
      </c>
    </row>
    <row r="119" spans="1:6" x14ac:dyDescent="0.25">
      <c r="A119" s="10">
        <v>118</v>
      </c>
      <c r="B119" s="1">
        <v>40</v>
      </c>
      <c r="C119" s="1">
        <v>1</v>
      </c>
      <c r="D119" s="1" t="s">
        <v>6</v>
      </c>
      <c r="E119" s="1">
        <v>1</v>
      </c>
      <c r="F119" s="21" t="s">
        <v>9</v>
      </c>
    </row>
    <row r="120" spans="1:6" x14ac:dyDescent="0.25">
      <c r="A120" s="10">
        <v>119</v>
      </c>
      <c r="B120" s="1">
        <v>40</v>
      </c>
      <c r="C120" s="1">
        <v>0</v>
      </c>
      <c r="D120" s="1" t="s">
        <v>8</v>
      </c>
      <c r="E120" s="1">
        <v>3</v>
      </c>
      <c r="F120" s="21" t="s">
        <v>10</v>
      </c>
    </row>
    <row r="121" spans="1:6" x14ac:dyDescent="0.25">
      <c r="A121" s="10">
        <v>120</v>
      </c>
      <c r="B121" s="1">
        <v>34</v>
      </c>
      <c r="C121" s="1">
        <v>1</v>
      </c>
      <c r="D121" s="1" t="s">
        <v>6</v>
      </c>
      <c r="E121" s="1">
        <v>2</v>
      </c>
      <c r="F121" s="21" t="s">
        <v>7</v>
      </c>
    </row>
    <row r="122" spans="1:6" x14ac:dyDescent="0.25">
      <c r="A122" s="10">
        <v>121</v>
      </c>
      <c r="B122" s="1">
        <v>31</v>
      </c>
      <c r="C122" s="1">
        <v>0</v>
      </c>
      <c r="D122" s="1" t="s">
        <v>8</v>
      </c>
      <c r="E122" s="1">
        <v>2</v>
      </c>
      <c r="F122" s="21" t="s">
        <v>7</v>
      </c>
    </row>
    <row r="123" spans="1:6" x14ac:dyDescent="0.25">
      <c r="A123" s="10">
        <v>122</v>
      </c>
      <c r="B123" s="1">
        <v>48</v>
      </c>
      <c r="C123" s="1">
        <v>0</v>
      </c>
      <c r="D123" s="1" t="s">
        <v>8</v>
      </c>
      <c r="E123" s="1">
        <v>1</v>
      </c>
      <c r="F123" s="21" t="s">
        <v>9</v>
      </c>
    </row>
    <row r="124" spans="1:6" x14ac:dyDescent="0.25">
      <c r="A124" s="10">
        <v>123</v>
      </c>
      <c r="B124" s="1">
        <v>30</v>
      </c>
      <c r="C124" s="1">
        <v>1</v>
      </c>
      <c r="D124" s="1" t="s">
        <v>6</v>
      </c>
      <c r="E124" s="1">
        <v>1</v>
      </c>
      <c r="F124" s="21" t="s">
        <v>9</v>
      </c>
    </row>
    <row r="125" spans="1:6" x14ac:dyDescent="0.25">
      <c r="A125" s="10">
        <v>124</v>
      </c>
      <c r="B125" s="1">
        <v>47</v>
      </c>
      <c r="C125" s="1">
        <v>1</v>
      </c>
      <c r="D125" s="1" t="s">
        <v>6</v>
      </c>
      <c r="E125" s="1">
        <v>1</v>
      </c>
      <c r="F125" s="21" t="s">
        <v>9</v>
      </c>
    </row>
    <row r="126" spans="1:6" x14ac:dyDescent="0.25">
      <c r="A126" s="10">
        <v>125</v>
      </c>
      <c r="B126" s="1">
        <v>33</v>
      </c>
      <c r="C126" s="1">
        <v>0</v>
      </c>
      <c r="D126" s="1" t="s">
        <v>8</v>
      </c>
      <c r="E126" s="1">
        <v>2</v>
      </c>
      <c r="F126" s="21" t="s">
        <v>7</v>
      </c>
    </row>
    <row r="127" spans="1:6" x14ac:dyDescent="0.25">
      <c r="A127" s="10">
        <v>126</v>
      </c>
      <c r="B127" s="1">
        <v>35</v>
      </c>
      <c r="C127" s="1">
        <v>0</v>
      </c>
      <c r="D127" s="1" t="s">
        <v>8</v>
      </c>
      <c r="E127" s="1">
        <v>1</v>
      </c>
      <c r="F127" s="21" t="s">
        <v>9</v>
      </c>
    </row>
    <row r="128" spans="1:6" x14ac:dyDescent="0.25">
      <c r="A128" s="10">
        <v>127</v>
      </c>
      <c r="B128" s="1">
        <v>45</v>
      </c>
      <c r="C128" s="1">
        <v>0</v>
      </c>
      <c r="D128" s="1" t="s">
        <v>8</v>
      </c>
      <c r="E128" s="1">
        <v>2</v>
      </c>
      <c r="F128" s="21" t="s">
        <v>7</v>
      </c>
    </row>
    <row r="129" spans="1:6" x14ac:dyDescent="0.25">
      <c r="A129" s="10">
        <v>128</v>
      </c>
      <c r="B129" s="1">
        <v>40</v>
      </c>
      <c r="C129" s="1">
        <v>0</v>
      </c>
      <c r="D129" s="1" t="s">
        <v>8</v>
      </c>
      <c r="E129" s="1">
        <v>2</v>
      </c>
      <c r="F129" s="21" t="s">
        <v>7</v>
      </c>
    </row>
    <row r="130" spans="1:6" x14ac:dyDescent="0.25">
      <c r="A130" s="10">
        <v>129</v>
      </c>
      <c r="B130" s="1">
        <v>34</v>
      </c>
      <c r="C130" s="1">
        <v>0</v>
      </c>
      <c r="D130" s="1" t="s">
        <v>8</v>
      </c>
      <c r="E130" s="1">
        <v>3</v>
      </c>
      <c r="F130" s="21" t="s">
        <v>10</v>
      </c>
    </row>
    <row r="131" spans="1:6" x14ac:dyDescent="0.25">
      <c r="A131" s="10">
        <v>130</v>
      </c>
      <c r="B131" s="1">
        <v>49</v>
      </c>
      <c r="C131" s="1">
        <v>0</v>
      </c>
      <c r="D131" s="1" t="s">
        <v>8</v>
      </c>
      <c r="E131" s="1">
        <v>1</v>
      </c>
      <c r="F131" s="21" t="s">
        <v>9</v>
      </c>
    </row>
    <row r="132" spans="1:6" x14ac:dyDescent="0.25">
      <c r="A132" s="10">
        <v>131</v>
      </c>
      <c r="B132" s="1">
        <v>39</v>
      </c>
      <c r="C132" s="1">
        <v>0</v>
      </c>
      <c r="D132" s="1" t="s">
        <v>8</v>
      </c>
      <c r="E132" s="1">
        <v>3</v>
      </c>
      <c r="F132" s="21" t="s">
        <v>10</v>
      </c>
    </row>
    <row r="133" spans="1:6" x14ac:dyDescent="0.25">
      <c r="A133" s="10">
        <v>132</v>
      </c>
      <c r="B133" s="1">
        <v>36</v>
      </c>
      <c r="C133" s="1">
        <v>0</v>
      </c>
      <c r="D133" s="1" t="s">
        <v>8</v>
      </c>
      <c r="E133" s="1">
        <v>1</v>
      </c>
      <c r="F133" s="21" t="s">
        <v>9</v>
      </c>
    </row>
    <row r="134" spans="1:6" x14ac:dyDescent="0.25">
      <c r="A134" s="10">
        <v>133</v>
      </c>
      <c r="B134" s="1">
        <v>49</v>
      </c>
      <c r="C134" s="1">
        <v>0</v>
      </c>
      <c r="D134" s="1" t="s">
        <v>8</v>
      </c>
      <c r="E134" s="1">
        <v>2</v>
      </c>
      <c r="F134" s="21" t="s">
        <v>7</v>
      </c>
    </row>
    <row r="135" spans="1:6" x14ac:dyDescent="0.25">
      <c r="A135" s="10">
        <v>134</v>
      </c>
      <c r="B135" s="1">
        <v>30</v>
      </c>
      <c r="C135" s="1">
        <v>0</v>
      </c>
      <c r="D135" s="1" t="s">
        <v>8</v>
      </c>
      <c r="E135" s="1">
        <v>2</v>
      </c>
      <c r="F135" s="21" t="s">
        <v>7</v>
      </c>
    </row>
    <row r="136" spans="1:6" x14ac:dyDescent="0.25">
      <c r="A136" s="10">
        <v>135</v>
      </c>
      <c r="B136" s="1">
        <v>41</v>
      </c>
      <c r="C136" s="1">
        <v>1</v>
      </c>
      <c r="D136" s="1" t="s">
        <v>6</v>
      </c>
      <c r="E136" s="1">
        <v>1</v>
      </c>
      <c r="F136" s="21" t="s">
        <v>9</v>
      </c>
    </row>
    <row r="137" spans="1:6" x14ac:dyDescent="0.25">
      <c r="A137" s="10">
        <v>136</v>
      </c>
      <c r="B137" s="1">
        <v>39</v>
      </c>
      <c r="C137" s="1">
        <v>1</v>
      </c>
      <c r="D137" s="1" t="s">
        <v>6</v>
      </c>
      <c r="E137" s="1">
        <v>3</v>
      </c>
      <c r="F137" s="21" t="s">
        <v>10</v>
      </c>
    </row>
    <row r="138" spans="1:6" x14ac:dyDescent="0.25">
      <c r="A138" s="10">
        <v>137</v>
      </c>
      <c r="B138" s="1">
        <v>32</v>
      </c>
      <c r="C138" s="1">
        <v>1</v>
      </c>
      <c r="D138" s="1" t="s">
        <v>6</v>
      </c>
      <c r="E138" s="1">
        <v>3</v>
      </c>
      <c r="F138" s="21" t="s">
        <v>10</v>
      </c>
    </row>
    <row r="139" spans="1:6" x14ac:dyDescent="0.25">
      <c r="A139" s="10">
        <v>138</v>
      </c>
      <c r="B139" s="1">
        <v>49</v>
      </c>
      <c r="C139" s="1">
        <v>0</v>
      </c>
      <c r="D139" s="1" t="s">
        <v>8</v>
      </c>
      <c r="E139" s="1">
        <v>2</v>
      </c>
      <c r="F139" s="21" t="s">
        <v>7</v>
      </c>
    </row>
    <row r="140" spans="1:6" x14ac:dyDescent="0.25">
      <c r="A140" s="10">
        <v>139</v>
      </c>
      <c r="B140" s="1">
        <v>47</v>
      </c>
      <c r="C140" s="1">
        <v>1</v>
      </c>
      <c r="D140" s="1" t="s">
        <v>6</v>
      </c>
      <c r="E140" s="1">
        <v>2</v>
      </c>
      <c r="F140" s="21" t="s">
        <v>7</v>
      </c>
    </row>
    <row r="141" spans="1:6" x14ac:dyDescent="0.25">
      <c r="A141" s="10">
        <v>140</v>
      </c>
      <c r="B141" s="1">
        <v>50</v>
      </c>
      <c r="C141" s="1">
        <v>0</v>
      </c>
      <c r="D141" s="1" t="s">
        <v>8</v>
      </c>
      <c r="E141" s="1">
        <v>3</v>
      </c>
      <c r="F141" s="21" t="s">
        <v>10</v>
      </c>
    </row>
    <row r="142" spans="1:6" x14ac:dyDescent="0.25">
      <c r="A142" s="10">
        <v>141</v>
      </c>
      <c r="B142" s="1">
        <v>50</v>
      </c>
      <c r="C142" s="1">
        <v>1</v>
      </c>
      <c r="D142" s="1" t="s">
        <v>6</v>
      </c>
      <c r="E142" s="1">
        <v>3</v>
      </c>
      <c r="F142" s="21" t="s">
        <v>10</v>
      </c>
    </row>
    <row r="143" spans="1:6" x14ac:dyDescent="0.25">
      <c r="A143" s="10">
        <v>142</v>
      </c>
      <c r="B143" s="1">
        <v>36</v>
      </c>
      <c r="C143" s="1">
        <v>1</v>
      </c>
      <c r="D143" s="1" t="s">
        <v>6</v>
      </c>
      <c r="E143" s="1">
        <v>1</v>
      </c>
      <c r="F143" s="21" t="s">
        <v>9</v>
      </c>
    </row>
    <row r="144" spans="1:6" x14ac:dyDescent="0.25">
      <c r="A144" s="10">
        <v>143</v>
      </c>
      <c r="B144" s="1">
        <v>42</v>
      </c>
      <c r="C144" s="1">
        <v>1</v>
      </c>
      <c r="D144" s="1" t="s">
        <v>6</v>
      </c>
      <c r="E144" s="1">
        <v>2</v>
      </c>
      <c r="F144" s="21" t="s">
        <v>7</v>
      </c>
    </row>
    <row r="145" spans="1:6" x14ac:dyDescent="0.25">
      <c r="A145" s="10">
        <v>144</v>
      </c>
      <c r="B145" s="1">
        <v>39</v>
      </c>
      <c r="C145" s="1">
        <v>1</v>
      </c>
      <c r="D145" s="1" t="s">
        <v>6</v>
      </c>
      <c r="E145" s="1">
        <v>2</v>
      </c>
      <c r="F145" s="21" t="s">
        <v>7</v>
      </c>
    </row>
    <row r="146" spans="1:6" x14ac:dyDescent="0.25">
      <c r="A146" s="10">
        <v>145</v>
      </c>
      <c r="B146" s="1">
        <v>37</v>
      </c>
      <c r="C146" s="1">
        <v>0</v>
      </c>
      <c r="D146" s="1" t="s">
        <v>8</v>
      </c>
      <c r="E146" s="1">
        <v>3</v>
      </c>
      <c r="F146" s="21" t="s">
        <v>10</v>
      </c>
    </row>
    <row r="147" spans="1:6" x14ac:dyDescent="0.25">
      <c r="A147" s="10">
        <v>146</v>
      </c>
      <c r="B147" s="1">
        <v>47</v>
      </c>
      <c r="C147" s="1">
        <v>1</v>
      </c>
      <c r="D147" s="1" t="s">
        <v>6</v>
      </c>
      <c r="E147" s="1">
        <v>1</v>
      </c>
      <c r="F147" s="21" t="s">
        <v>9</v>
      </c>
    </row>
    <row r="148" spans="1:6" x14ac:dyDescent="0.25">
      <c r="A148" s="10">
        <v>147</v>
      </c>
      <c r="B148" s="1">
        <v>32</v>
      </c>
      <c r="C148" s="1">
        <v>1</v>
      </c>
      <c r="D148" s="1" t="s">
        <v>6</v>
      </c>
      <c r="E148" s="1">
        <v>2</v>
      </c>
      <c r="F148" s="21" t="s">
        <v>7</v>
      </c>
    </row>
    <row r="149" spans="1:6" x14ac:dyDescent="0.25">
      <c r="A149" s="10">
        <v>148</v>
      </c>
      <c r="B149" s="1">
        <v>42</v>
      </c>
      <c r="C149" s="1">
        <v>1</v>
      </c>
      <c r="D149" s="1" t="s">
        <v>6</v>
      </c>
      <c r="E149" s="1">
        <v>2</v>
      </c>
      <c r="F149" s="21" t="s">
        <v>7</v>
      </c>
    </row>
    <row r="150" spans="1:6" x14ac:dyDescent="0.25">
      <c r="A150" s="10">
        <v>149</v>
      </c>
      <c r="B150" s="1">
        <v>38</v>
      </c>
      <c r="C150" s="1">
        <v>0</v>
      </c>
      <c r="D150" s="1" t="s">
        <v>8</v>
      </c>
      <c r="E150" s="1">
        <v>2</v>
      </c>
      <c r="F150" s="21" t="s">
        <v>7</v>
      </c>
    </row>
    <row r="151" spans="1:6" x14ac:dyDescent="0.25">
      <c r="A151" s="10">
        <v>150</v>
      </c>
      <c r="B151" s="1">
        <v>43</v>
      </c>
      <c r="C151" s="1">
        <v>1</v>
      </c>
      <c r="D151" s="1" t="s">
        <v>6</v>
      </c>
      <c r="E151" s="1">
        <v>2</v>
      </c>
      <c r="F151" s="21" t="s">
        <v>7</v>
      </c>
    </row>
    <row r="152" spans="1:6" x14ac:dyDescent="0.25">
      <c r="A152" s="10">
        <v>151</v>
      </c>
      <c r="B152" s="1">
        <v>42</v>
      </c>
      <c r="C152" s="1">
        <v>1</v>
      </c>
      <c r="D152" s="1" t="s">
        <v>6</v>
      </c>
      <c r="E152" s="1">
        <v>2</v>
      </c>
      <c r="F152" s="21" t="s">
        <v>7</v>
      </c>
    </row>
    <row r="153" spans="1:6" x14ac:dyDescent="0.25">
      <c r="A153" s="10">
        <v>152</v>
      </c>
      <c r="B153" s="1">
        <v>30</v>
      </c>
      <c r="C153" s="1">
        <v>0</v>
      </c>
      <c r="D153" s="1" t="s">
        <v>8</v>
      </c>
      <c r="E153" s="1">
        <v>1</v>
      </c>
      <c r="F153" s="21" t="s">
        <v>9</v>
      </c>
    </row>
    <row r="154" spans="1:6" x14ac:dyDescent="0.25">
      <c r="A154" s="10">
        <v>153</v>
      </c>
      <c r="B154" s="1">
        <v>38</v>
      </c>
      <c r="C154" s="1">
        <v>0</v>
      </c>
      <c r="D154" s="1" t="s">
        <v>8</v>
      </c>
      <c r="E154" s="1">
        <v>1</v>
      </c>
      <c r="F154" s="21" t="s">
        <v>9</v>
      </c>
    </row>
    <row r="155" spans="1:6" x14ac:dyDescent="0.25">
      <c r="A155" s="10">
        <v>154</v>
      </c>
      <c r="B155" s="1">
        <v>39</v>
      </c>
      <c r="C155" s="1">
        <v>0</v>
      </c>
      <c r="D155" s="1" t="s">
        <v>8</v>
      </c>
      <c r="E155" s="1">
        <v>1</v>
      </c>
      <c r="F155" s="21" t="s">
        <v>9</v>
      </c>
    </row>
    <row r="156" spans="1:6" x14ac:dyDescent="0.25">
      <c r="A156" s="10">
        <v>155</v>
      </c>
      <c r="B156" s="1">
        <v>38</v>
      </c>
      <c r="C156" s="1">
        <v>1</v>
      </c>
      <c r="D156" s="1" t="s">
        <v>6</v>
      </c>
      <c r="E156" s="1">
        <v>3</v>
      </c>
      <c r="F156" s="21" t="s">
        <v>10</v>
      </c>
    </row>
    <row r="157" spans="1:6" x14ac:dyDescent="0.25">
      <c r="A157" s="10">
        <v>156</v>
      </c>
      <c r="B157" s="1">
        <v>30</v>
      </c>
      <c r="C157" s="1">
        <v>0</v>
      </c>
      <c r="D157" s="1" t="s">
        <v>8</v>
      </c>
      <c r="E157" s="1">
        <v>2</v>
      </c>
      <c r="F157" s="21" t="s">
        <v>7</v>
      </c>
    </row>
    <row r="158" spans="1:6" x14ac:dyDescent="0.25">
      <c r="A158" s="10">
        <v>157</v>
      </c>
      <c r="B158" s="1">
        <v>30</v>
      </c>
      <c r="C158" s="1">
        <v>1</v>
      </c>
      <c r="D158" s="1" t="s">
        <v>6</v>
      </c>
      <c r="E158" s="1">
        <v>1</v>
      </c>
      <c r="F158" s="21" t="s">
        <v>9</v>
      </c>
    </row>
    <row r="159" spans="1:6" x14ac:dyDescent="0.25">
      <c r="A159" s="10">
        <v>158</v>
      </c>
      <c r="B159" s="1">
        <v>41</v>
      </c>
      <c r="C159" s="1">
        <v>1</v>
      </c>
      <c r="D159" s="1" t="s">
        <v>6</v>
      </c>
      <c r="E159" s="1">
        <v>2</v>
      </c>
      <c r="F159" s="21" t="s">
        <v>7</v>
      </c>
    </row>
    <row r="160" spans="1:6" x14ac:dyDescent="0.25">
      <c r="A160" s="10">
        <v>159</v>
      </c>
      <c r="B160" s="1">
        <v>49</v>
      </c>
      <c r="C160" s="1">
        <v>1</v>
      </c>
      <c r="D160" s="1" t="s">
        <v>6</v>
      </c>
      <c r="E160" s="1">
        <v>1</v>
      </c>
      <c r="F160" s="21" t="s">
        <v>9</v>
      </c>
    </row>
    <row r="161" spans="1:6" x14ac:dyDescent="0.25">
      <c r="A161" s="10">
        <v>160</v>
      </c>
      <c r="B161" s="1">
        <v>36</v>
      </c>
      <c r="C161" s="1">
        <v>1</v>
      </c>
      <c r="D161" s="1" t="s">
        <v>6</v>
      </c>
      <c r="E161" s="1">
        <v>1</v>
      </c>
      <c r="F161" s="21" t="s">
        <v>9</v>
      </c>
    </row>
    <row r="162" spans="1:6" x14ac:dyDescent="0.25">
      <c r="A162" s="10">
        <v>161</v>
      </c>
      <c r="B162" s="1">
        <v>41</v>
      </c>
      <c r="C162" s="1">
        <v>0</v>
      </c>
      <c r="D162" s="1" t="s">
        <v>8</v>
      </c>
      <c r="E162" s="1">
        <v>3</v>
      </c>
      <c r="F162" s="21" t="s">
        <v>10</v>
      </c>
    </row>
    <row r="163" spans="1:6" x14ac:dyDescent="0.25">
      <c r="A163" s="10">
        <v>162</v>
      </c>
      <c r="B163" s="1">
        <v>41</v>
      </c>
      <c r="C163" s="1">
        <v>0</v>
      </c>
      <c r="D163" s="1" t="s">
        <v>8</v>
      </c>
      <c r="E163" s="1">
        <v>3</v>
      </c>
      <c r="F163" s="21" t="s">
        <v>10</v>
      </c>
    </row>
    <row r="164" spans="1:6" x14ac:dyDescent="0.25">
      <c r="A164" s="10">
        <v>163</v>
      </c>
      <c r="B164" s="1">
        <v>36</v>
      </c>
      <c r="C164" s="1">
        <v>0</v>
      </c>
      <c r="D164" s="1" t="s">
        <v>8</v>
      </c>
      <c r="E164" s="1">
        <v>1</v>
      </c>
      <c r="F164" s="21" t="s">
        <v>9</v>
      </c>
    </row>
    <row r="165" spans="1:6" x14ac:dyDescent="0.25">
      <c r="A165" s="10">
        <v>164</v>
      </c>
      <c r="B165" s="1">
        <v>48</v>
      </c>
      <c r="C165" s="1">
        <v>0</v>
      </c>
      <c r="D165" s="1" t="s">
        <v>8</v>
      </c>
      <c r="E165" s="1">
        <v>2</v>
      </c>
      <c r="F165" s="21" t="s">
        <v>7</v>
      </c>
    </row>
    <row r="166" spans="1:6" x14ac:dyDescent="0.25">
      <c r="A166" s="10">
        <v>165</v>
      </c>
      <c r="B166" s="1">
        <v>39</v>
      </c>
      <c r="C166" s="1">
        <v>0</v>
      </c>
      <c r="D166" s="1" t="s">
        <v>8</v>
      </c>
      <c r="E166" s="1">
        <v>3</v>
      </c>
      <c r="F166" s="21" t="s">
        <v>10</v>
      </c>
    </row>
    <row r="167" spans="1:6" x14ac:dyDescent="0.25">
      <c r="A167" s="10">
        <v>166</v>
      </c>
      <c r="B167" s="1">
        <v>48</v>
      </c>
      <c r="C167" s="1">
        <v>1</v>
      </c>
      <c r="D167" s="1" t="s">
        <v>6</v>
      </c>
      <c r="E167" s="1">
        <v>2</v>
      </c>
      <c r="F167" s="21" t="s">
        <v>7</v>
      </c>
    </row>
    <row r="168" spans="1:6" x14ac:dyDescent="0.25">
      <c r="A168" s="10">
        <v>167</v>
      </c>
      <c r="B168" s="1">
        <v>36</v>
      </c>
      <c r="C168" s="1">
        <v>0</v>
      </c>
      <c r="D168" s="1" t="s">
        <v>8</v>
      </c>
      <c r="E168" s="1">
        <v>3</v>
      </c>
      <c r="F168" s="21" t="s">
        <v>10</v>
      </c>
    </row>
    <row r="169" spans="1:6" x14ac:dyDescent="0.25">
      <c r="A169" s="10">
        <v>168</v>
      </c>
      <c r="B169" s="1">
        <v>32</v>
      </c>
      <c r="C169" s="1">
        <v>0</v>
      </c>
      <c r="D169" s="1" t="s">
        <v>8</v>
      </c>
      <c r="E169" s="1">
        <v>1</v>
      </c>
      <c r="F169" s="21" t="s">
        <v>9</v>
      </c>
    </row>
    <row r="170" spans="1:6" x14ac:dyDescent="0.25">
      <c r="A170" s="10">
        <v>169</v>
      </c>
      <c r="B170" s="1">
        <v>39</v>
      </c>
      <c r="C170" s="1">
        <v>1</v>
      </c>
      <c r="D170" s="1" t="s">
        <v>6</v>
      </c>
      <c r="E170" s="1">
        <v>3</v>
      </c>
      <c r="F170" s="21" t="s">
        <v>10</v>
      </c>
    </row>
    <row r="171" spans="1:6" x14ac:dyDescent="0.25">
      <c r="A171" s="10">
        <v>170</v>
      </c>
      <c r="B171" s="1">
        <v>31</v>
      </c>
      <c r="C171" s="1">
        <v>0</v>
      </c>
      <c r="D171" s="1" t="s">
        <v>8</v>
      </c>
      <c r="E171" s="1">
        <v>1</v>
      </c>
      <c r="F171" s="21" t="s">
        <v>9</v>
      </c>
    </row>
    <row r="172" spans="1:6" x14ac:dyDescent="0.25">
      <c r="A172" s="10">
        <v>171</v>
      </c>
      <c r="B172" s="1">
        <v>44</v>
      </c>
      <c r="C172" s="1">
        <v>1</v>
      </c>
      <c r="D172" s="1" t="s">
        <v>6</v>
      </c>
      <c r="E172" s="1">
        <v>1</v>
      </c>
      <c r="F172" s="21" t="s">
        <v>9</v>
      </c>
    </row>
    <row r="173" spans="1:6" x14ac:dyDescent="0.25">
      <c r="A173" s="10">
        <v>172</v>
      </c>
      <c r="B173" s="1">
        <v>39</v>
      </c>
      <c r="C173" s="1">
        <v>1</v>
      </c>
      <c r="D173" s="1" t="s">
        <v>6</v>
      </c>
      <c r="E173" s="1">
        <v>1</v>
      </c>
      <c r="F173" s="21" t="s">
        <v>9</v>
      </c>
    </row>
    <row r="174" spans="1:6" x14ac:dyDescent="0.25">
      <c r="A174" s="10">
        <v>173</v>
      </c>
      <c r="B174" s="1">
        <v>30</v>
      </c>
      <c r="C174" s="1">
        <v>0</v>
      </c>
      <c r="D174" s="1" t="s">
        <v>8</v>
      </c>
      <c r="E174" s="1">
        <v>1</v>
      </c>
      <c r="F174" s="21" t="s">
        <v>9</v>
      </c>
    </row>
    <row r="175" spans="1:6" x14ac:dyDescent="0.25">
      <c r="A175" s="10">
        <v>174</v>
      </c>
      <c r="B175" s="1">
        <v>50</v>
      </c>
      <c r="C175" s="1">
        <v>0</v>
      </c>
      <c r="D175" s="1" t="s">
        <v>8</v>
      </c>
      <c r="E175" s="1">
        <v>2</v>
      </c>
      <c r="F175" s="21" t="s">
        <v>7</v>
      </c>
    </row>
    <row r="176" spans="1:6" x14ac:dyDescent="0.25">
      <c r="A176" s="10">
        <v>175</v>
      </c>
      <c r="B176" s="1">
        <v>50</v>
      </c>
      <c r="C176" s="1">
        <v>1</v>
      </c>
      <c r="D176" s="1" t="s">
        <v>6</v>
      </c>
      <c r="E176" s="1">
        <v>3</v>
      </c>
      <c r="F176" s="21" t="s">
        <v>10</v>
      </c>
    </row>
    <row r="177" spans="1:6" x14ac:dyDescent="0.25">
      <c r="A177" s="10">
        <v>176</v>
      </c>
      <c r="B177" s="1">
        <v>45</v>
      </c>
      <c r="C177" s="1">
        <v>0</v>
      </c>
      <c r="D177" s="1" t="s">
        <v>8</v>
      </c>
      <c r="E177" s="1">
        <v>1</v>
      </c>
      <c r="F177" s="21" t="s">
        <v>9</v>
      </c>
    </row>
    <row r="178" spans="1:6" x14ac:dyDescent="0.25">
      <c r="A178" s="10">
        <v>177</v>
      </c>
      <c r="B178" s="1">
        <v>30</v>
      </c>
      <c r="C178" s="1">
        <v>1</v>
      </c>
      <c r="D178" s="1" t="s">
        <v>6</v>
      </c>
      <c r="E178" s="1">
        <v>2</v>
      </c>
      <c r="F178" s="21" t="s">
        <v>7</v>
      </c>
    </row>
    <row r="179" spans="1:6" x14ac:dyDescent="0.25">
      <c r="A179" s="10">
        <v>178</v>
      </c>
      <c r="B179" s="1">
        <v>40</v>
      </c>
      <c r="C179" s="1">
        <v>1</v>
      </c>
      <c r="D179" s="1" t="s">
        <v>6</v>
      </c>
      <c r="E179" s="1">
        <v>1</v>
      </c>
      <c r="F179" s="21" t="s">
        <v>9</v>
      </c>
    </row>
    <row r="180" spans="1:6" x14ac:dyDescent="0.25">
      <c r="A180" s="10">
        <v>179</v>
      </c>
      <c r="B180" s="1">
        <v>32</v>
      </c>
      <c r="C180" s="1">
        <v>0</v>
      </c>
      <c r="D180" s="1" t="s">
        <v>8</v>
      </c>
      <c r="E180" s="1">
        <v>2</v>
      </c>
      <c r="F180" s="21" t="s">
        <v>7</v>
      </c>
    </row>
    <row r="181" spans="1:6" x14ac:dyDescent="0.25">
      <c r="A181" s="10">
        <v>180</v>
      </c>
      <c r="B181" s="1">
        <v>33</v>
      </c>
      <c r="C181" s="1">
        <v>0</v>
      </c>
      <c r="D181" s="1" t="s">
        <v>8</v>
      </c>
      <c r="E181" s="1">
        <v>3</v>
      </c>
      <c r="F181" s="21" t="s">
        <v>10</v>
      </c>
    </row>
    <row r="182" spans="1:6" x14ac:dyDescent="0.25">
      <c r="A182" s="10">
        <v>181</v>
      </c>
      <c r="B182" s="1">
        <v>40</v>
      </c>
      <c r="C182" s="1">
        <v>0</v>
      </c>
      <c r="D182" s="1" t="s">
        <v>8</v>
      </c>
      <c r="E182" s="1">
        <v>3</v>
      </c>
      <c r="F182" s="21" t="s">
        <v>10</v>
      </c>
    </row>
    <row r="183" spans="1:6" x14ac:dyDescent="0.25">
      <c r="A183" s="10">
        <v>182</v>
      </c>
      <c r="B183" s="1">
        <v>40</v>
      </c>
      <c r="C183" s="1">
        <v>0</v>
      </c>
      <c r="D183" s="1" t="s">
        <v>8</v>
      </c>
      <c r="E183" s="1">
        <v>2</v>
      </c>
      <c r="F183" s="21" t="s">
        <v>7</v>
      </c>
    </row>
    <row r="184" spans="1:6" x14ac:dyDescent="0.25">
      <c r="A184" s="10">
        <v>183</v>
      </c>
      <c r="B184" s="1">
        <v>32</v>
      </c>
      <c r="C184" s="1">
        <v>1</v>
      </c>
      <c r="D184" s="1" t="s">
        <v>6</v>
      </c>
      <c r="E184" s="1">
        <v>3</v>
      </c>
      <c r="F184" s="21" t="s">
        <v>10</v>
      </c>
    </row>
    <row r="185" spans="1:6" x14ac:dyDescent="0.25">
      <c r="A185" s="10">
        <v>184</v>
      </c>
      <c r="B185" s="1">
        <v>41</v>
      </c>
      <c r="C185" s="1">
        <v>0</v>
      </c>
      <c r="D185" s="1" t="s">
        <v>8</v>
      </c>
      <c r="E185" s="1">
        <v>3</v>
      </c>
      <c r="F185" s="21" t="s">
        <v>10</v>
      </c>
    </row>
    <row r="186" spans="1:6" x14ac:dyDescent="0.25">
      <c r="A186" s="10">
        <v>185</v>
      </c>
      <c r="B186" s="1">
        <v>32</v>
      </c>
      <c r="C186" s="1">
        <v>0</v>
      </c>
      <c r="D186" s="1" t="s">
        <v>8</v>
      </c>
      <c r="E186" s="1">
        <v>1</v>
      </c>
      <c r="F186" s="21" t="s">
        <v>9</v>
      </c>
    </row>
    <row r="187" spans="1:6" x14ac:dyDescent="0.25">
      <c r="A187" s="10">
        <v>186</v>
      </c>
      <c r="B187" s="1">
        <v>30</v>
      </c>
      <c r="C187" s="1">
        <v>0</v>
      </c>
      <c r="D187" s="1" t="s">
        <v>8</v>
      </c>
      <c r="E187" s="1">
        <v>3</v>
      </c>
      <c r="F187" s="21" t="s">
        <v>10</v>
      </c>
    </row>
    <row r="188" spans="1:6" x14ac:dyDescent="0.25">
      <c r="A188" s="10">
        <v>187</v>
      </c>
      <c r="B188" s="1">
        <v>32</v>
      </c>
      <c r="C188" s="1">
        <v>1</v>
      </c>
      <c r="D188" s="1" t="s">
        <v>6</v>
      </c>
      <c r="E188" s="1">
        <v>1</v>
      </c>
      <c r="F188" s="21" t="s">
        <v>9</v>
      </c>
    </row>
    <row r="189" spans="1:6" x14ac:dyDescent="0.25">
      <c r="A189" s="10">
        <v>188</v>
      </c>
      <c r="B189" s="1">
        <v>35</v>
      </c>
      <c r="C189" s="1">
        <v>0</v>
      </c>
      <c r="D189" s="1" t="s">
        <v>8</v>
      </c>
      <c r="E189" s="1">
        <v>3</v>
      </c>
      <c r="F189" s="21" t="s">
        <v>10</v>
      </c>
    </row>
    <row r="190" spans="1:6" x14ac:dyDescent="0.25">
      <c r="A190" s="10">
        <v>189</v>
      </c>
      <c r="B190" s="1">
        <v>39</v>
      </c>
      <c r="C190" s="1">
        <v>1</v>
      </c>
      <c r="D190" s="1" t="s">
        <v>6</v>
      </c>
      <c r="E190" s="1">
        <v>2</v>
      </c>
      <c r="F190" s="21" t="s">
        <v>7</v>
      </c>
    </row>
    <row r="191" spans="1:6" x14ac:dyDescent="0.25">
      <c r="A191" s="10">
        <v>190</v>
      </c>
      <c r="B191" s="1">
        <v>49</v>
      </c>
      <c r="C191" s="1">
        <v>1</v>
      </c>
      <c r="D191" s="1" t="s">
        <v>6</v>
      </c>
      <c r="E191" s="1">
        <v>2</v>
      </c>
      <c r="F191" s="21" t="s">
        <v>7</v>
      </c>
    </row>
    <row r="192" spans="1:6" x14ac:dyDescent="0.25">
      <c r="A192" s="10">
        <v>191</v>
      </c>
      <c r="B192" s="1">
        <v>33</v>
      </c>
      <c r="C192" s="1">
        <v>1</v>
      </c>
      <c r="D192" s="1" t="s">
        <v>6</v>
      </c>
      <c r="E192" s="1">
        <v>2</v>
      </c>
      <c r="F192" s="21" t="s">
        <v>7</v>
      </c>
    </row>
    <row r="193" spans="1:6" x14ac:dyDescent="0.25">
      <c r="A193" s="10">
        <v>192</v>
      </c>
      <c r="B193" s="1">
        <v>40</v>
      </c>
      <c r="C193" s="1">
        <v>0</v>
      </c>
      <c r="D193" s="1" t="s">
        <v>8</v>
      </c>
      <c r="E193" s="1">
        <v>1</v>
      </c>
      <c r="F193" s="21" t="s">
        <v>9</v>
      </c>
    </row>
    <row r="194" spans="1:6" x14ac:dyDescent="0.25">
      <c r="A194" s="10">
        <v>193</v>
      </c>
      <c r="B194" s="1">
        <v>44</v>
      </c>
      <c r="C194" s="1">
        <v>0</v>
      </c>
      <c r="D194" s="1" t="s">
        <v>8</v>
      </c>
      <c r="E194" s="1">
        <v>3</v>
      </c>
      <c r="F194" s="21" t="s">
        <v>10</v>
      </c>
    </row>
    <row r="195" spans="1:6" x14ac:dyDescent="0.25">
      <c r="A195" s="10">
        <v>194</v>
      </c>
      <c r="B195" s="1">
        <v>31</v>
      </c>
      <c r="C195" s="1">
        <v>0</v>
      </c>
      <c r="D195" s="1" t="s">
        <v>8</v>
      </c>
      <c r="E195" s="1">
        <v>1</v>
      </c>
      <c r="F195" s="21" t="s">
        <v>9</v>
      </c>
    </row>
    <row r="196" spans="1:6" x14ac:dyDescent="0.25">
      <c r="A196" s="10">
        <v>195</v>
      </c>
      <c r="B196" s="1">
        <v>32</v>
      </c>
      <c r="C196" s="1">
        <v>1</v>
      </c>
      <c r="D196" s="1" t="s">
        <v>6</v>
      </c>
      <c r="E196" s="1">
        <v>1</v>
      </c>
      <c r="F196" s="21" t="s">
        <v>9</v>
      </c>
    </row>
    <row r="197" spans="1:6" x14ac:dyDescent="0.25">
      <c r="A197" s="10">
        <v>196</v>
      </c>
      <c r="B197" s="1">
        <v>31</v>
      </c>
      <c r="C197" s="1">
        <v>0</v>
      </c>
      <c r="D197" s="1" t="s">
        <v>8</v>
      </c>
      <c r="E197" s="1">
        <v>2</v>
      </c>
      <c r="F197" s="21" t="s">
        <v>7</v>
      </c>
    </row>
    <row r="198" spans="1:6" x14ac:dyDescent="0.25">
      <c r="A198" s="10">
        <v>197</v>
      </c>
      <c r="B198" s="1">
        <v>36</v>
      </c>
      <c r="C198" s="1">
        <v>0</v>
      </c>
      <c r="D198" s="1" t="s">
        <v>8</v>
      </c>
      <c r="E198" s="1">
        <v>2</v>
      </c>
      <c r="F198" s="21" t="s">
        <v>7</v>
      </c>
    </row>
    <row r="199" spans="1:6" x14ac:dyDescent="0.25">
      <c r="A199" s="10">
        <v>198</v>
      </c>
      <c r="B199" s="1">
        <v>39</v>
      </c>
      <c r="C199" s="1">
        <v>1</v>
      </c>
      <c r="D199" s="1" t="s">
        <v>6</v>
      </c>
      <c r="E199" s="1">
        <v>2</v>
      </c>
      <c r="F199" s="21" t="s">
        <v>7</v>
      </c>
    </row>
    <row r="200" spans="1:6" x14ac:dyDescent="0.25">
      <c r="A200" s="10">
        <v>199</v>
      </c>
      <c r="B200" s="1">
        <v>47</v>
      </c>
      <c r="C200" s="1">
        <v>0</v>
      </c>
      <c r="D200" s="1" t="s">
        <v>8</v>
      </c>
      <c r="E200" s="1">
        <v>2</v>
      </c>
      <c r="F200" s="21" t="s">
        <v>7</v>
      </c>
    </row>
    <row r="201" spans="1:6" x14ac:dyDescent="0.25">
      <c r="A201" s="10">
        <v>200</v>
      </c>
      <c r="B201" s="1">
        <v>43</v>
      </c>
      <c r="C201" s="1">
        <v>1</v>
      </c>
      <c r="D201" s="1" t="s">
        <v>6</v>
      </c>
      <c r="E201" s="1">
        <v>1</v>
      </c>
      <c r="F201" s="21" t="s">
        <v>9</v>
      </c>
    </row>
    <row r="202" spans="1:6" x14ac:dyDescent="0.25">
      <c r="A202" s="10">
        <v>201</v>
      </c>
      <c r="B202" s="1">
        <v>50</v>
      </c>
      <c r="C202" s="1">
        <v>0</v>
      </c>
      <c r="D202" s="1" t="s">
        <v>8</v>
      </c>
      <c r="E202" s="1">
        <v>1</v>
      </c>
      <c r="F202" s="21" t="s">
        <v>9</v>
      </c>
    </row>
    <row r="203" spans="1:6" x14ac:dyDescent="0.25">
      <c r="A203" s="10">
        <v>202</v>
      </c>
      <c r="B203" s="1">
        <v>50</v>
      </c>
      <c r="C203" s="1">
        <v>1</v>
      </c>
      <c r="D203" s="1" t="s">
        <v>6</v>
      </c>
      <c r="E203" s="1">
        <v>3</v>
      </c>
      <c r="F203" s="21" t="s">
        <v>10</v>
      </c>
    </row>
    <row r="204" spans="1:6" x14ac:dyDescent="0.25">
      <c r="A204" s="10">
        <v>203</v>
      </c>
      <c r="B204" s="1">
        <v>35</v>
      </c>
      <c r="C204" s="1">
        <v>0</v>
      </c>
      <c r="D204" s="1" t="s">
        <v>8</v>
      </c>
      <c r="E204" s="1">
        <v>1</v>
      </c>
      <c r="F204" s="21" t="s">
        <v>9</v>
      </c>
    </row>
    <row r="205" spans="1:6" x14ac:dyDescent="0.25">
      <c r="A205" s="10">
        <v>204</v>
      </c>
      <c r="B205" s="1">
        <v>49</v>
      </c>
      <c r="C205" s="1">
        <v>0</v>
      </c>
      <c r="D205" s="1" t="s">
        <v>8</v>
      </c>
      <c r="E205" s="1">
        <v>1</v>
      </c>
      <c r="F205" s="21" t="s">
        <v>9</v>
      </c>
    </row>
    <row r="206" spans="1:6" x14ac:dyDescent="0.25">
      <c r="A206" s="10">
        <v>205</v>
      </c>
      <c r="B206" s="1">
        <v>31</v>
      </c>
      <c r="C206" s="1">
        <v>1</v>
      </c>
      <c r="D206" s="1" t="s">
        <v>6</v>
      </c>
      <c r="E206" s="1">
        <v>3</v>
      </c>
      <c r="F206" s="21" t="s">
        <v>10</v>
      </c>
    </row>
    <row r="207" spans="1:6" x14ac:dyDescent="0.25">
      <c r="A207" s="10">
        <v>206</v>
      </c>
      <c r="B207" s="1">
        <v>30</v>
      </c>
      <c r="C207" s="1">
        <v>1</v>
      </c>
      <c r="D207" s="1" t="s">
        <v>6</v>
      </c>
      <c r="E207" s="1">
        <v>2</v>
      </c>
      <c r="F207" s="21" t="s">
        <v>7</v>
      </c>
    </row>
    <row r="208" spans="1:6" x14ac:dyDescent="0.25">
      <c r="A208" s="10">
        <v>207</v>
      </c>
      <c r="B208" s="1">
        <v>48</v>
      </c>
      <c r="C208" s="1">
        <v>1</v>
      </c>
      <c r="D208" s="1" t="s">
        <v>6</v>
      </c>
      <c r="E208" s="1">
        <v>2</v>
      </c>
      <c r="F208" s="21" t="s">
        <v>7</v>
      </c>
    </row>
    <row r="209" spans="1:6" x14ac:dyDescent="0.25">
      <c r="A209" s="10">
        <v>208</v>
      </c>
      <c r="B209" s="1">
        <v>35</v>
      </c>
      <c r="C209" s="1">
        <v>1</v>
      </c>
      <c r="D209" s="1" t="s">
        <v>6</v>
      </c>
      <c r="E209" s="1">
        <v>1</v>
      </c>
      <c r="F209" s="21" t="s">
        <v>9</v>
      </c>
    </row>
    <row r="210" spans="1:6" x14ac:dyDescent="0.25">
      <c r="A210" s="10">
        <v>209</v>
      </c>
      <c r="B210" s="1">
        <v>43</v>
      </c>
      <c r="C210" s="1">
        <v>0</v>
      </c>
      <c r="D210" s="1" t="s">
        <v>8</v>
      </c>
      <c r="E210" s="1">
        <v>3</v>
      </c>
      <c r="F210" s="21" t="s">
        <v>10</v>
      </c>
    </row>
    <row r="211" spans="1:6" x14ac:dyDescent="0.25">
      <c r="A211" s="10">
        <v>210</v>
      </c>
      <c r="B211" s="1">
        <v>32</v>
      </c>
      <c r="C211" s="1">
        <v>0</v>
      </c>
      <c r="D211" s="1" t="s">
        <v>8</v>
      </c>
      <c r="E211" s="1">
        <v>3</v>
      </c>
      <c r="F211" s="21" t="s">
        <v>10</v>
      </c>
    </row>
    <row r="212" spans="1:6" x14ac:dyDescent="0.25">
      <c r="A212" s="10">
        <v>211</v>
      </c>
      <c r="B212" s="1">
        <v>31</v>
      </c>
      <c r="C212" s="1">
        <v>1</v>
      </c>
      <c r="D212" s="1" t="s">
        <v>6</v>
      </c>
      <c r="E212" s="1">
        <v>2</v>
      </c>
      <c r="F212" s="21" t="s">
        <v>7</v>
      </c>
    </row>
    <row r="213" spans="1:6" x14ac:dyDescent="0.25">
      <c r="A213" s="10">
        <v>212</v>
      </c>
      <c r="B213" s="1">
        <v>43</v>
      </c>
      <c r="C213" s="1">
        <v>1</v>
      </c>
      <c r="D213" s="1" t="s">
        <v>6</v>
      </c>
      <c r="E213" s="1">
        <v>3</v>
      </c>
      <c r="F213" s="21" t="s">
        <v>10</v>
      </c>
    </row>
    <row r="214" spans="1:6" x14ac:dyDescent="0.25">
      <c r="A214" s="10">
        <v>213</v>
      </c>
      <c r="B214" s="1">
        <v>35</v>
      </c>
      <c r="C214" s="1">
        <v>0</v>
      </c>
      <c r="D214" s="1" t="s">
        <v>8</v>
      </c>
      <c r="E214" s="1">
        <v>2</v>
      </c>
      <c r="F214" s="21" t="s">
        <v>7</v>
      </c>
    </row>
    <row r="215" spans="1:6" x14ac:dyDescent="0.25">
      <c r="A215" s="10">
        <v>214</v>
      </c>
      <c r="B215" s="1">
        <v>38</v>
      </c>
      <c r="C215" s="1">
        <v>1</v>
      </c>
      <c r="D215" s="1" t="s">
        <v>6</v>
      </c>
      <c r="E215" s="1">
        <v>3</v>
      </c>
      <c r="F215" s="21" t="s">
        <v>10</v>
      </c>
    </row>
    <row r="216" spans="1:6" x14ac:dyDescent="0.25">
      <c r="A216" s="10">
        <v>215</v>
      </c>
      <c r="B216" s="1">
        <v>31</v>
      </c>
      <c r="C216" s="1">
        <v>0</v>
      </c>
      <c r="D216" s="1" t="s">
        <v>8</v>
      </c>
      <c r="E216" s="1">
        <v>3</v>
      </c>
      <c r="F216" s="21" t="s">
        <v>10</v>
      </c>
    </row>
    <row r="217" spans="1:6" x14ac:dyDescent="0.25">
      <c r="A217" s="10">
        <v>216</v>
      </c>
      <c r="B217" s="1">
        <v>42</v>
      </c>
      <c r="C217" s="1">
        <v>0</v>
      </c>
      <c r="D217" s="1" t="s">
        <v>8</v>
      </c>
      <c r="E217" s="1">
        <v>3</v>
      </c>
      <c r="F217" s="21" t="s">
        <v>10</v>
      </c>
    </row>
    <row r="218" spans="1:6" x14ac:dyDescent="0.25">
      <c r="A218" s="10">
        <v>217</v>
      </c>
      <c r="B218" s="1">
        <v>33</v>
      </c>
      <c r="C218" s="1">
        <v>0</v>
      </c>
      <c r="D218" s="1" t="s">
        <v>8</v>
      </c>
      <c r="E218" s="1">
        <v>1</v>
      </c>
      <c r="F218" s="21" t="s">
        <v>9</v>
      </c>
    </row>
    <row r="219" spans="1:6" x14ac:dyDescent="0.25">
      <c r="A219" s="10">
        <v>218</v>
      </c>
      <c r="B219" s="1">
        <v>30</v>
      </c>
      <c r="C219" s="1">
        <v>0</v>
      </c>
      <c r="D219" s="1" t="s">
        <v>8</v>
      </c>
      <c r="E219" s="1">
        <v>2</v>
      </c>
      <c r="F219" s="21" t="s">
        <v>7</v>
      </c>
    </row>
    <row r="220" spans="1:6" x14ac:dyDescent="0.25">
      <c r="A220" s="10">
        <v>219</v>
      </c>
      <c r="B220" s="1">
        <v>45</v>
      </c>
      <c r="C220" s="1">
        <v>0</v>
      </c>
      <c r="D220" s="1" t="s">
        <v>8</v>
      </c>
      <c r="E220" s="1">
        <v>2</v>
      </c>
      <c r="F220" s="21" t="s">
        <v>7</v>
      </c>
    </row>
    <row r="221" spans="1:6" x14ac:dyDescent="0.25">
      <c r="A221" s="10">
        <v>220</v>
      </c>
      <c r="B221" s="1">
        <v>48</v>
      </c>
      <c r="C221" s="1">
        <v>0</v>
      </c>
      <c r="D221" s="1" t="s">
        <v>8</v>
      </c>
      <c r="E221" s="1">
        <v>3</v>
      </c>
      <c r="F221" s="21" t="s">
        <v>10</v>
      </c>
    </row>
    <row r="222" spans="1:6" x14ac:dyDescent="0.25">
      <c r="A222" s="10">
        <v>221</v>
      </c>
      <c r="B222" s="1">
        <v>35</v>
      </c>
      <c r="C222" s="1">
        <v>0</v>
      </c>
      <c r="D222" s="1" t="s">
        <v>8</v>
      </c>
      <c r="E222" s="1">
        <v>1</v>
      </c>
      <c r="F222" s="21" t="s">
        <v>9</v>
      </c>
    </row>
    <row r="223" spans="1:6" x14ac:dyDescent="0.25">
      <c r="A223" s="10">
        <v>222</v>
      </c>
      <c r="B223" s="1">
        <v>40</v>
      </c>
      <c r="C223" s="1">
        <v>0</v>
      </c>
      <c r="D223" s="1" t="s">
        <v>8</v>
      </c>
      <c r="E223" s="1">
        <v>1</v>
      </c>
      <c r="F223" s="21" t="s">
        <v>9</v>
      </c>
    </row>
    <row r="224" spans="1:6" x14ac:dyDescent="0.25">
      <c r="A224" s="10">
        <v>223</v>
      </c>
      <c r="B224" s="1">
        <v>33</v>
      </c>
      <c r="C224" s="1">
        <v>1</v>
      </c>
      <c r="D224" s="1" t="s">
        <v>6</v>
      </c>
      <c r="E224" s="1">
        <v>2</v>
      </c>
      <c r="F224" s="21" t="s">
        <v>7</v>
      </c>
    </row>
    <row r="225" spans="1:6" x14ac:dyDescent="0.25">
      <c r="A225" s="10">
        <v>224</v>
      </c>
      <c r="B225" s="1">
        <v>31</v>
      </c>
      <c r="C225" s="1">
        <v>1</v>
      </c>
      <c r="D225" s="1" t="s">
        <v>6</v>
      </c>
      <c r="E225" s="1">
        <v>3</v>
      </c>
      <c r="F225" s="21" t="s">
        <v>10</v>
      </c>
    </row>
    <row r="226" spans="1:6" x14ac:dyDescent="0.25">
      <c r="A226" s="10">
        <v>225</v>
      </c>
      <c r="B226" s="1">
        <v>32</v>
      </c>
      <c r="C226" s="1">
        <v>1</v>
      </c>
      <c r="D226" s="1" t="s">
        <v>6</v>
      </c>
      <c r="E226" s="1">
        <v>3</v>
      </c>
      <c r="F226" s="21" t="s">
        <v>10</v>
      </c>
    </row>
    <row r="227" spans="1:6" x14ac:dyDescent="0.25">
      <c r="A227" s="10">
        <v>226</v>
      </c>
      <c r="B227" s="1">
        <v>34</v>
      </c>
      <c r="C227" s="1">
        <v>1</v>
      </c>
      <c r="D227" s="1" t="s">
        <v>6</v>
      </c>
      <c r="E227" s="1">
        <v>2</v>
      </c>
      <c r="F227" s="21" t="s">
        <v>7</v>
      </c>
    </row>
    <row r="228" spans="1:6" x14ac:dyDescent="0.25">
      <c r="A228" s="10">
        <v>227</v>
      </c>
      <c r="B228" s="1">
        <v>39</v>
      </c>
      <c r="C228" s="1">
        <v>0</v>
      </c>
      <c r="D228" s="1" t="s">
        <v>8</v>
      </c>
      <c r="E228" s="1">
        <v>1</v>
      </c>
      <c r="F228" s="21" t="s">
        <v>9</v>
      </c>
    </row>
    <row r="229" spans="1:6" x14ac:dyDescent="0.25">
      <c r="A229" s="10">
        <v>228</v>
      </c>
      <c r="B229" s="1">
        <v>40</v>
      </c>
      <c r="C229" s="1">
        <v>1</v>
      </c>
      <c r="D229" s="1" t="s">
        <v>6</v>
      </c>
      <c r="E229" s="1">
        <v>1</v>
      </c>
      <c r="F229" s="21" t="s">
        <v>9</v>
      </c>
    </row>
    <row r="230" spans="1:6" x14ac:dyDescent="0.25">
      <c r="A230" s="10">
        <v>229</v>
      </c>
      <c r="B230" s="1">
        <v>38</v>
      </c>
      <c r="C230" s="1">
        <v>0</v>
      </c>
      <c r="D230" s="1" t="s">
        <v>8</v>
      </c>
      <c r="E230" s="1">
        <v>3</v>
      </c>
      <c r="F230" s="21" t="s">
        <v>10</v>
      </c>
    </row>
    <row r="231" spans="1:6" x14ac:dyDescent="0.25">
      <c r="A231" s="10">
        <v>230</v>
      </c>
      <c r="B231" s="1">
        <v>50</v>
      </c>
      <c r="C231" s="1">
        <v>1</v>
      </c>
      <c r="D231" s="1" t="s">
        <v>6</v>
      </c>
      <c r="E231" s="1">
        <v>2</v>
      </c>
      <c r="F231" s="21" t="s">
        <v>7</v>
      </c>
    </row>
    <row r="232" spans="1:6" x14ac:dyDescent="0.25">
      <c r="A232" s="10">
        <v>231</v>
      </c>
      <c r="B232" s="1">
        <v>46</v>
      </c>
      <c r="C232" s="1">
        <v>1</v>
      </c>
      <c r="D232" s="1" t="s">
        <v>6</v>
      </c>
      <c r="E232" s="1">
        <v>2</v>
      </c>
      <c r="F232" s="21" t="s">
        <v>7</v>
      </c>
    </row>
    <row r="233" spans="1:6" x14ac:dyDescent="0.25">
      <c r="A233" s="10">
        <v>232</v>
      </c>
      <c r="B233" s="1">
        <v>38</v>
      </c>
      <c r="C233" s="1">
        <v>1</v>
      </c>
      <c r="D233" s="1" t="s">
        <v>6</v>
      </c>
      <c r="E233" s="1">
        <v>2</v>
      </c>
      <c r="F233" s="21" t="s">
        <v>7</v>
      </c>
    </row>
    <row r="234" spans="1:6" x14ac:dyDescent="0.25">
      <c r="A234" s="10">
        <v>233</v>
      </c>
      <c r="B234" s="1">
        <v>42</v>
      </c>
      <c r="C234" s="1">
        <v>1</v>
      </c>
      <c r="D234" s="1" t="s">
        <v>6</v>
      </c>
      <c r="E234" s="1">
        <v>3</v>
      </c>
      <c r="F234" s="21" t="s">
        <v>10</v>
      </c>
    </row>
    <row r="235" spans="1:6" x14ac:dyDescent="0.25">
      <c r="A235" s="10">
        <v>234</v>
      </c>
      <c r="B235" s="1">
        <v>48</v>
      </c>
      <c r="C235" s="1">
        <v>1</v>
      </c>
      <c r="D235" s="1" t="s">
        <v>6</v>
      </c>
      <c r="E235" s="1">
        <v>3</v>
      </c>
      <c r="F235" s="21" t="s">
        <v>10</v>
      </c>
    </row>
    <row r="236" spans="1:6" x14ac:dyDescent="0.25">
      <c r="A236" s="10">
        <v>235</v>
      </c>
      <c r="B236" s="1">
        <v>50</v>
      </c>
      <c r="C236" s="1">
        <v>0</v>
      </c>
      <c r="D236" s="1" t="s">
        <v>8</v>
      </c>
      <c r="E236" s="1">
        <v>3</v>
      </c>
      <c r="F236" s="21" t="s">
        <v>10</v>
      </c>
    </row>
    <row r="237" spans="1:6" x14ac:dyDescent="0.25">
      <c r="A237" s="10">
        <v>236</v>
      </c>
      <c r="B237" s="1">
        <v>42</v>
      </c>
      <c r="C237" s="1">
        <v>0</v>
      </c>
      <c r="D237" s="1" t="s">
        <v>8</v>
      </c>
      <c r="E237" s="1">
        <v>1</v>
      </c>
      <c r="F237" s="21" t="s">
        <v>9</v>
      </c>
    </row>
    <row r="238" spans="1:6" x14ac:dyDescent="0.25">
      <c r="A238" s="10">
        <v>237</v>
      </c>
      <c r="B238" s="1">
        <v>50</v>
      </c>
      <c r="C238" s="1">
        <v>0</v>
      </c>
      <c r="D238" s="1" t="s">
        <v>8</v>
      </c>
      <c r="E238" s="1">
        <v>2</v>
      </c>
      <c r="F238" s="21" t="s">
        <v>7</v>
      </c>
    </row>
    <row r="239" spans="1:6" x14ac:dyDescent="0.25">
      <c r="A239" s="10">
        <v>238</v>
      </c>
      <c r="B239" s="1">
        <v>41</v>
      </c>
      <c r="C239" s="1">
        <v>0</v>
      </c>
      <c r="D239" s="1" t="s">
        <v>8</v>
      </c>
      <c r="E239" s="1">
        <v>3</v>
      </c>
      <c r="F239" s="21" t="s">
        <v>10</v>
      </c>
    </row>
    <row r="240" spans="1:6" x14ac:dyDescent="0.25">
      <c r="A240" s="10">
        <v>239</v>
      </c>
      <c r="B240" s="1">
        <v>33</v>
      </c>
      <c r="C240" s="1">
        <v>0</v>
      </c>
      <c r="D240" s="1" t="s">
        <v>8</v>
      </c>
      <c r="E240" s="1">
        <v>3</v>
      </c>
      <c r="F240" s="21" t="s">
        <v>10</v>
      </c>
    </row>
    <row r="241" spans="1:6" x14ac:dyDescent="0.25">
      <c r="A241" s="10">
        <v>240</v>
      </c>
      <c r="B241" s="1">
        <v>31</v>
      </c>
      <c r="C241" s="1">
        <v>0</v>
      </c>
      <c r="D241" s="1" t="s">
        <v>8</v>
      </c>
      <c r="E241" s="1">
        <v>2</v>
      </c>
      <c r="F241" s="21" t="s">
        <v>7</v>
      </c>
    </row>
    <row r="242" spans="1:6" x14ac:dyDescent="0.25">
      <c r="A242" s="10">
        <v>241</v>
      </c>
      <c r="B242" s="1">
        <v>39</v>
      </c>
      <c r="C242" s="1">
        <v>1</v>
      </c>
      <c r="D242" s="1" t="s">
        <v>6</v>
      </c>
      <c r="E242" s="1">
        <v>1</v>
      </c>
      <c r="F242" s="21" t="s">
        <v>9</v>
      </c>
    </row>
    <row r="243" spans="1:6" x14ac:dyDescent="0.25">
      <c r="A243" s="10">
        <v>242</v>
      </c>
      <c r="B243" s="1">
        <v>42</v>
      </c>
      <c r="C243" s="1">
        <v>0</v>
      </c>
      <c r="D243" s="1" t="s">
        <v>8</v>
      </c>
      <c r="E243" s="1">
        <v>3</v>
      </c>
      <c r="F243" s="21" t="s">
        <v>10</v>
      </c>
    </row>
    <row r="244" spans="1:6" x14ac:dyDescent="0.25">
      <c r="A244" s="10">
        <v>243</v>
      </c>
      <c r="B244" s="1">
        <v>50</v>
      </c>
      <c r="C244" s="1">
        <v>1</v>
      </c>
      <c r="D244" s="1" t="s">
        <v>6</v>
      </c>
      <c r="E244" s="1">
        <v>1</v>
      </c>
      <c r="F244" s="21" t="s">
        <v>9</v>
      </c>
    </row>
    <row r="245" spans="1:6" x14ac:dyDescent="0.25">
      <c r="A245" s="10">
        <v>244</v>
      </c>
      <c r="B245" s="1">
        <v>42</v>
      </c>
      <c r="C245" s="1">
        <v>0</v>
      </c>
      <c r="D245" s="1" t="s">
        <v>8</v>
      </c>
      <c r="E245" s="1">
        <v>1</v>
      </c>
      <c r="F245" s="21" t="s">
        <v>9</v>
      </c>
    </row>
    <row r="246" spans="1:6" x14ac:dyDescent="0.25">
      <c r="A246" s="10">
        <v>245</v>
      </c>
      <c r="B246" s="1">
        <v>45</v>
      </c>
      <c r="C246" s="1">
        <v>1</v>
      </c>
      <c r="D246" s="1" t="s">
        <v>6</v>
      </c>
      <c r="E246" s="1">
        <v>1</v>
      </c>
      <c r="F246" s="21" t="s">
        <v>9</v>
      </c>
    </row>
    <row r="247" spans="1:6" x14ac:dyDescent="0.25">
      <c r="A247" s="10">
        <v>246</v>
      </c>
      <c r="B247" s="1">
        <v>41</v>
      </c>
      <c r="C247" s="1">
        <v>0</v>
      </c>
      <c r="D247" s="1" t="s">
        <v>8</v>
      </c>
      <c r="E247" s="1">
        <v>2</v>
      </c>
      <c r="F247" s="21" t="s">
        <v>7</v>
      </c>
    </row>
    <row r="248" spans="1:6" x14ac:dyDescent="0.25">
      <c r="A248" s="10">
        <v>247</v>
      </c>
      <c r="B248" s="1">
        <v>40</v>
      </c>
      <c r="C248" s="1">
        <v>0</v>
      </c>
      <c r="D248" s="1" t="s">
        <v>8</v>
      </c>
      <c r="E248" s="1">
        <v>1</v>
      </c>
      <c r="F248" s="21" t="s">
        <v>9</v>
      </c>
    </row>
    <row r="249" spans="1:6" x14ac:dyDescent="0.25">
      <c r="A249" s="10">
        <v>248</v>
      </c>
      <c r="B249" s="1">
        <v>39</v>
      </c>
      <c r="C249" s="1">
        <v>1</v>
      </c>
      <c r="D249" s="1" t="s">
        <v>6</v>
      </c>
      <c r="E249" s="1">
        <v>2</v>
      </c>
      <c r="F249" s="21" t="s">
        <v>7</v>
      </c>
    </row>
    <row r="250" spans="1:6" x14ac:dyDescent="0.25">
      <c r="A250" s="10">
        <v>249</v>
      </c>
      <c r="B250" s="1">
        <v>39</v>
      </c>
      <c r="C250" s="1">
        <v>1</v>
      </c>
      <c r="D250" s="1" t="s">
        <v>6</v>
      </c>
      <c r="E250" s="1">
        <v>2</v>
      </c>
      <c r="F250" s="21" t="s">
        <v>7</v>
      </c>
    </row>
    <row r="251" spans="1:6" x14ac:dyDescent="0.25">
      <c r="A251" s="10">
        <v>250</v>
      </c>
      <c r="B251" s="1">
        <v>44</v>
      </c>
      <c r="C251" s="1">
        <v>1</v>
      </c>
      <c r="D251" s="1" t="s">
        <v>6</v>
      </c>
      <c r="E251" s="1">
        <v>3</v>
      </c>
      <c r="F251" s="21" t="s">
        <v>10</v>
      </c>
    </row>
    <row r="252" spans="1:6" x14ac:dyDescent="0.25">
      <c r="A252" s="10">
        <v>251</v>
      </c>
      <c r="B252" s="1">
        <v>36</v>
      </c>
      <c r="C252" s="1">
        <v>1</v>
      </c>
      <c r="D252" s="1" t="s">
        <v>6</v>
      </c>
      <c r="E252" s="1">
        <v>2</v>
      </c>
      <c r="F252" s="21" t="s">
        <v>7</v>
      </c>
    </row>
    <row r="253" spans="1:6" x14ac:dyDescent="0.25">
      <c r="A253" s="10">
        <v>252</v>
      </c>
      <c r="B253" s="1">
        <v>35</v>
      </c>
      <c r="C253" s="1">
        <v>0</v>
      </c>
      <c r="D253" s="1" t="s">
        <v>8</v>
      </c>
      <c r="E253" s="1">
        <v>2</v>
      </c>
      <c r="F253" s="21" t="s">
        <v>7</v>
      </c>
    </row>
    <row r="254" spans="1:6" x14ac:dyDescent="0.25">
      <c r="A254" s="10">
        <v>253</v>
      </c>
      <c r="B254" s="1">
        <v>50</v>
      </c>
      <c r="C254" s="1">
        <v>1</v>
      </c>
      <c r="D254" s="1" t="s">
        <v>6</v>
      </c>
      <c r="E254" s="1">
        <v>2</v>
      </c>
      <c r="F254" s="21" t="s">
        <v>7</v>
      </c>
    </row>
    <row r="255" spans="1:6" x14ac:dyDescent="0.25">
      <c r="A255" s="10">
        <v>254</v>
      </c>
      <c r="B255" s="1">
        <v>49</v>
      </c>
      <c r="C255" s="1">
        <v>0</v>
      </c>
      <c r="D255" s="1" t="s">
        <v>8</v>
      </c>
      <c r="E255" s="1">
        <v>3</v>
      </c>
      <c r="F255" s="21" t="s">
        <v>10</v>
      </c>
    </row>
    <row r="256" spans="1:6" x14ac:dyDescent="0.25">
      <c r="A256" s="10">
        <v>255</v>
      </c>
      <c r="B256" s="1">
        <v>46</v>
      </c>
      <c r="C256" s="1">
        <v>1</v>
      </c>
      <c r="D256" s="1" t="s">
        <v>6</v>
      </c>
      <c r="E256" s="1">
        <v>3</v>
      </c>
      <c r="F256" s="21" t="s">
        <v>10</v>
      </c>
    </row>
    <row r="257" spans="1:6" x14ac:dyDescent="0.25">
      <c r="A257" s="10">
        <v>256</v>
      </c>
      <c r="B257" s="1">
        <v>37</v>
      </c>
      <c r="C257" s="1">
        <v>0</v>
      </c>
      <c r="D257" s="1" t="s">
        <v>8</v>
      </c>
      <c r="E257" s="1">
        <v>1</v>
      </c>
      <c r="F257" s="21" t="s">
        <v>9</v>
      </c>
    </row>
    <row r="258" spans="1:6" x14ac:dyDescent="0.25">
      <c r="A258" s="10">
        <v>257</v>
      </c>
      <c r="B258" s="1">
        <v>45</v>
      </c>
      <c r="C258" s="1">
        <v>0</v>
      </c>
      <c r="D258" s="1" t="s">
        <v>8</v>
      </c>
      <c r="E258" s="1">
        <v>2</v>
      </c>
      <c r="F258" s="21" t="s">
        <v>7</v>
      </c>
    </row>
    <row r="259" spans="1:6" x14ac:dyDescent="0.25">
      <c r="A259" s="10">
        <v>258</v>
      </c>
      <c r="B259" s="1">
        <v>31</v>
      </c>
      <c r="C259" s="1">
        <v>1</v>
      </c>
      <c r="D259" s="1" t="s">
        <v>6</v>
      </c>
      <c r="E259" s="1">
        <v>1</v>
      </c>
      <c r="F259" s="21" t="s">
        <v>9</v>
      </c>
    </row>
    <row r="260" spans="1:6" x14ac:dyDescent="0.25">
      <c r="A260" s="10">
        <v>259</v>
      </c>
      <c r="B260" s="1">
        <v>50</v>
      </c>
      <c r="C260" s="1">
        <v>0</v>
      </c>
      <c r="D260" s="1" t="s">
        <v>8</v>
      </c>
      <c r="E260" s="1">
        <v>2</v>
      </c>
      <c r="F260" s="21" t="s">
        <v>7</v>
      </c>
    </row>
    <row r="261" spans="1:6" x14ac:dyDescent="0.25">
      <c r="A261" s="10">
        <v>260</v>
      </c>
      <c r="B261" s="1">
        <v>50</v>
      </c>
      <c r="C261" s="1">
        <v>1</v>
      </c>
      <c r="D261" s="1" t="s">
        <v>6</v>
      </c>
      <c r="E261" s="1">
        <v>2</v>
      </c>
      <c r="F261" s="21" t="s">
        <v>7</v>
      </c>
    </row>
    <row r="262" spans="1:6" x14ac:dyDescent="0.25">
      <c r="A262" s="10">
        <v>261</v>
      </c>
      <c r="B262" s="1">
        <v>50</v>
      </c>
      <c r="C262" s="1">
        <v>0</v>
      </c>
      <c r="D262" s="1" t="s">
        <v>8</v>
      </c>
      <c r="E262" s="1">
        <v>3</v>
      </c>
      <c r="F262" s="21" t="s">
        <v>10</v>
      </c>
    </row>
    <row r="263" spans="1:6" x14ac:dyDescent="0.25">
      <c r="A263" s="10">
        <v>262</v>
      </c>
      <c r="B263" s="1">
        <v>42</v>
      </c>
      <c r="C263" s="1">
        <v>1</v>
      </c>
      <c r="D263" s="1" t="s">
        <v>6</v>
      </c>
      <c r="E263" s="1">
        <v>2</v>
      </c>
      <c r="F263" s="21" t="s">
        <v>7</v>
      </c>
    </row>
    <row r="264" spans="1:6" x14ac:dyDescent="0.25">
      <c r="A264" s="10">
        <v>263</v>
      </c>
      <c r="B264" s="1">
        <v>50</v>
      </c>
      <c r="C264" s="1">
        <v>0</v>
      </c>
      <c r="D264" s="1" t="s">
        <v>8</v>
      </c>
      <c r="E264" s="1">
        <v>2</v>
      </c>
      <c r="F264" s="21" t="s">
        <v>7</v>
      </c>
    </row>
    <row r="265" spans="1:6" x14ac:dyDescent="0.25">
      <c r="A265" s="10">
        <v>264</v>
      </c>
      <c r="B265" s="1">
        <v>47</v>
      </c>
      <c r="C265" s="1">
        <v>0</v>
      </c>
      <c r="D265" s="1" t="s">
        <v>8</v>
      </c>
      <c r="E265" s="1">
        <v>2</v>
      </c>
      <c r="F265" s="21" t="s">
        <v>7</v>
      </c>
    </row>
    <row r="266" spans="1:6" x14ac:dyDescent="0.25">
      <c r="A266" s="10">
        <v>265</v>
      </c>
      <c r="B266" s="1">
        <v>38</v>
      </c>
      <c r="C266" s="1">
        <v>0</v>
      </c>
      <c r="D266" s="1" t="s">
        <v>8</v>
      </c>
      <c r="E266" s="1">
        <v>1</v>
      </c>
      <c r="F266" s="21" t="s">
        <v>9</v>
      </c>
    </row>
    <row r="267" spans="1:6" x14ac:dyDescent="0.25">
      <c r="A267" s="10">
        <v>266</v>
      </c>
      <c r="B267" s="1">
        <v>36</v>
      </c>
      <c r="C267" s="1">
        <v>1</v>
      </c>
      <c r="D267" s="1" t="s">
        <v>6</v>
      </c>
      <c r="E267" s="1">
        <v>2</v>
      </c>
      <c r="F267" s="21" t="s">
        <v>7</v>
      </c>
    </row>
    <row r="268" spans="1:6" x14ac:dyDescent="0.25">
      <c r="A268" s="10">
        <v>267</v>
      </c>
      <c r="B268" s="1">
        <v>39</v>
      </c>
      <c r="C268" s="1">
        <v>1</v>
      </c>
      <c r="D268" s="1" t="s">
        <v>6</v>
      </c>
      <c r="E268" s="1">
        <v>3</v>
      </c>
      <c r="F268" s="21" t="s">
        <v>10</v>
      </c>
    </row>
    <row r="269" spans="1:6" x14ac:dyDescent="0.25">
      <c r="A269" s="10">
        <v>268</v>
      </c>
      <c r="B269" s="1">
        <v>48</v>
      </c>
      <c r="C269" s="1">
        <v>0</v>
      </c>
      <c r="D269" s="1" t="s">
        <v>8</v>
      </c>
      <c r="E269" s="1">
        <v>2</v>
      </c>
      <c r="F269" s="21" t="s">
        <v>7</v>
      </c>
    </row>
    <row r="270" spans="1:6" x14ac:dyDescent="0.25">
      <c r="A270" s="10">
        <v>269</v>
      </c>
      <c r="B270" s="1">
        <v>47</v>
      </c>
      <c r="C270" s="1">
        <v>0</v>
      </c>
      <c r="D270" s="1" t="s">
        <v>8</v>
      </c>
      <c r="E270" s="1">
        <v>1</v>
      </c>
      <c r="F270" s="21" t="s">
        <v>9</v>
      </c>
    </row>
    <row r="271" spans="1:6" x14ac:dyDescent="0.25">
      <c r="A271" s="10">
        <v>270</v>
      </c>
      <c r="B271" s="1">
        <v>50</v>
      </c>
      <c r="C271" s="1">
        <v>0</v>
      </c>
      <c r="D271" s="1" t="s">
        <v>8</v>
      </c>
      <c r="E271" s="1">
        <v>3</v>
      </c>
      <c r="F271" s="21" t="s">
        <v>10</v>
      </c>
    </row>
    <row r="272" spans="1:6" x14ac:dyDescent="0.25">
      <c r="A272" s="10">
        <v>271</v>
      </c>
      <c r="B272" s="1">
        <v>49</v>
      </c>
      <c r="C272" s="1">
        <v>1</v>
      </c>
      <c r="D272" s="1" t="s">
        <v>6</v>
      </c>
      <c r="E272" s="1">
        <v>3</v>
      </c>
      <c r="F272" s="21" t="s">
        <v>10</v>
      </c>
    </row>
    <row r="273" spans="1:6" x14ac:dyDescent="0.25">
      <c r="A273" s="10">
        <v>272</v>
      </c>
      <c r="B273" s="1">
        <v>43</v>
      </c>
      <c r="C273" s="1">
        <v>1</v>
      </c>
      <c r="D273" s="1" t="s">
        <v>6</v>
      </c>
      <c r="E273" s="1">
        <v>2</v>
      </c>
      <c r="F273" s="21" t="s">
        <v>7</v>
      </c>
    </row>
    <row r="274" spans="1:6" x14ac:dyDescent="0.25">
      <c r="A274" s="10">
        <v>273</v>
      </c>
      <c r="B274" s="1">
        <v>38</v>
      </c>
      <c r="C274" s="1">
        <v>0</v>
      </c>
      <c r="D274" s="1" t="s">
        <v>8</v>
      </c>
      <c r="E274" s="1">
        <v>1</v>
      </c>
      <c r="F274" s="21" t="s">
        <v>9</v>
      </c>
    </row>
    <row r="275" spans="1:6" x14ac:dyDescent="0.25">
      <c r="A275" s="10">
        <v>274</v>
      </c>
      <c r="B275" s="1">
        <v>39</v>
      </c>
      <c r="C275" s="1">
        <v>1</v>
      </c>
      <c r="D275" s="1" t="s">
        <v>6</v>
      </c>
      <c r="E275" s="1">
        <v>3</v>
      </c>
      <c r="F275" s="21" t="s">
        <v>10</v>
      </c>
    </row>
    <row r="276" spans="1:6" x14ac:dyDescent="0.25">
      <c r="A276" s="10">
        <v>275</v>
      </c>
      <c r="B276" s="1">
        <v>42</v>
      </c>
      <c r="C276" s="1">
        <v>1</v>
      </c>
      <c r="D276" s="1" t="s">
        <v>6</v>
      </c>
      <c r="E276" s="1">
        <v>2</v>
      </c>
      <c r="F276" s="21" t="s">
        <v>7</v>
      </c>
    </row>
    <row r="277" spans="1:6" x14ac:dyDescent="0.25">
      <c r="A277" s="10">
        <v>276</v>
      </c>
      <c r="B277" s="1">
        <v>32</v>
      </c>
      <c r="C277" s="1">
        <v>0</v>
      </c>
      <c r="D277" s="1" t="s">
        <v>8</v>
      </c>
      <c r="E277" s="1">
        <v>2</v>
      </c>
      <c r="F277" s="21" t="s">
        <v>7</v>
      </c>
    </row>
    <row r="278" spans="1:6" x14ac:dyDescent="0.25">
      <c r="A278" s="10">
        <v>277</v>
      </c>
      <c r="B278" s="1">
        <v>32</v>
      </c>
      <c r="C278" s="1">
        <v>0</v>
      </c>
      <c r="D278" s="1" t="s">
        <v>8</v>
      </c>
      <c r="E278" s="1">
        <v>3</v>
      </c>
      <c r="F278" s="21" t="s">
        <v>10</v>
      </c>
    </row>
    <row r="279" spans="1:6" x14ac:dyDescent="0.25">
      <c r="A279" s="10">
        <v>278</v>
      </c>
      <c r="B279" s="1">
        <v>45</v>
      </c>
      <c r="C279" s="1">
        <v>1</v>
      </c>
      <c r="D279" s="1" t="s">
        <v>6</v>
      </c>
      <c r="E279" s="1">
        <v>1</v>
      </c>
      <c r="F279" s="21" t="s">
        <v>9</v>
      </c>
    </row>
    <row r="280" spans="1:6" x14ac:dyDescent="0.25">
      <c r="A280" s="10">
        <v>279</v>
      </c>
      <c r="B280" s="1">
        <v>44</v>
      </c>
      <c r="C280" s="1">
        <v>0</v>
      </c>
      <c r="D280" s="1" t="s">
        <v>8</v>
      </c>
      <c r="E280" s="1">
        <v>2</v>
      </c>
      <c r="F280" s="21" t="s">
        <v>7</v>
      </c>
    </row>
    <row r="281" spans="1:6" x14ac:dyDescent="0.25">
      <c r="A281" s="10">
        <v>280</v>
      </c>
      <c r="B281" s="1">
        <v>40</v>
      </c>
      <c r="C281" s="1">
        <v>0</v>
      </c>
      <c r="D281" s="1" t="s">
        <v>8</v>
      </c>
      <c r="E281" s="1">
        <v>1</v>
      </c>
      <c r="F281" s="21" t="s">
        <v>9</v>
      </c>
    </row>
    <row r="282" spans="1:6" x14ac:dyDescent="0.25">
      <c r="A282" s="10">
        <v>281</v>
      </c>
      <c r="B282" s="1">
        <v>37</v>
      </c>
      <c r="C282" s="1">
        <v>1</v>
      </c>
      <c r="D282" s="1" t="s">
        <v>6</v>
      </c>
      <c r="E282" s="1">
        <v>2</v>
      </c>
      <c r="F282" s="21" t="s">
        <v>7</v>
      </c>
    </row>
    <row r="283" spans="1:6" x14ac:dyDescent="0.25">
      <c r="A283" s="10">
        <v>282</v>
      </c>
      <c r="B283" s="1">
        <v>36</v>
      </c>
      <c r="C283" s="1">
        <v>0</v>
      </c>
      <c r="D283" s="1" t="s">
        <v>8</v>
      </c>
      <c r="E283" s="1">
        <v>2</v>
      </c>
      <c r="F283" s="21" t="s">
        <v>7</v>
      </c>
    </row>
    <row r="284" spans="1:6" x14ac:dyDescent="0.25">
      <c r="A284" s="10">
        <v>283</v>
      </c>
      <c r="B284" s="1">
        <v>46</v>
      </c>
      <c r="C284" s="1">
        <v>1</v>
      </c>
      <c r="D284" s="1" t="s">
        <v>6</v>
      </c>
      <c r="E284" s="1">
        <v>3</v>
      </c>
      <c r="F284" s="21" t="s">
        <v>10</v>
      </c>
    </row>
    <row r="285" spans="1:6" x14ac:dyDescent="0.25">
      <c r="A285" s="10">
        <v>284</v>
      </c>
      <c r="B285" s="1">
        <v>33</v>
      </c>
      <c r="C285" s="1">
        <v>0</v>
      </c>
      <c r="D285" s="1" t="s">
        <v>8</v>
      </c>
      <c r="E285" s="1">
        <v>2</v>
      </c>
      <c r="F285" s="21" t="s">
        <v>7</v>
      </c>
    </row>
    <row r="286" spans="1:6" x14ac:dyDescent="0.25">
      <c r="A286" s="10">
        <v>285</v>
      </c>
      <c r="B286" s="1">
        <v>42</v>
      </c>
      <c r="C286" s="1">
        <v>1</v>
      </c>
      <c r="D286" s="1" t="s">
        <v>6</v>
      </c>
      <c r="E286" s="1">
        <v>2</v>
      </c>
      <c r="F286" s="21" t="s">
        <v>7</v>
      </c>
    </row>
    <row r="287" spans="1:6" x14ac:dyDescent="0.25">
      <c r="A287" s="10">
        <v>286</v>
      </c>
      <c r="B287" s="1">
        <v>40</v>
      </c>
      <c r="C287" s="1">
        <v>0</v>
      </c>
      <c r="D287" s="1" t="s">
        <v>8</v>
      </c>
      <c r="E287" s="1">
        <v>2</v>
      </c>
      <c r="F287" s="21" t="s">
        <v>7</v>
      </c>
    </row>
    <row r="288" spans="1:6" x14ac:dyDescent="0.25">
      <c r="A288" s="10">
        <v>287</v>
      </c>
      <c r="B288" s="1">
        <v>33</v>
      </c>
      <c r="C288" s="1">
        <v>0</v>
      </c>
      <c r="D288" s="1" t="s">
        <v>8</v>
      </c>
      <c r="E288" s="1">
        <v>1</v>
      </c>
      <c r="F288" s="21" t="s">
        <v>9</v>
      </c>
    </row>
    <row r="289" spans="1:6" x14ac:dyDescent="0.25">
      <c r="A289" s="10">
        <v>288</v>
      </c>
      <c r="B289" s="1">
        <v>30</v>
      </c>
      <c r="C289" s="1">
        <v>0</v>
      </c>
      <c r="D289" s="1" t="s">
        <v>8</v>
      </c>
      <c r="E289" s="1">
        <v>2</v>
      </c>
      <c r="F289" s="21" t="s">
        <v>7</v>
      </c>
    </row>
    <row r="290" spans="1:6" x14ac:dyDescent="0.25">
      <c r="A290" s="10">
        <v>289</v>
      </c>
      <c r="B290" s="1">
        <v>31</v>
      </c>
      <c r="C290" s="1">
        <v>1</v>
      </c>
      <c r="D290" s="1" t="s">
        <v>6</v>
      </c>
      <c r="E290" s="1">
        <v>3</v>
      </c>
      <c r="F290" s="21" t="s">
        <v>10</v>
      </c>
    </row>
    <row r="291" spans="1:6" x14ac:dyDescent="0.25">
      <c r="A291" s="10">
        <v>290</v>
      </c>
      <c r="B291" s="1">
        <v>40</v>
      </c>
      <c r="C291" s="1">
        <v>0</v>
      </c>
      <c r="D291" s="1" t="s">
        <v>8</v>
      </c>
      <c r="E291" s="1">
        <v>2</v>
      </c>
      <c r="F291" s="21" t="s">
        <v>7</v>
      </c>
    </row>
    <row r="292" spans="1:6" x14ac:dyDescent="0.25">
      <c r="A292" s="10">
        <v>291</v>
      </c>
      <c r="B292" s="1">
        <v>35</v>
      </c>
      <c r="C292" s="1">
        <v>1</v>
      </c>
      <c r="D292" s="1" t="s">
        <v>6</v>
      </c>
      <c r="E292" s="1">
        <v>2</v>
      </c>
      <c r="F292" s="21" t="s">
        <v>7</v>
      </c>
    </row>
    <row r="293" spans="1:6" x14ac:dyDescent="0.25">
      <c r="A293" s="10">
        <v>292</v>
      </c>
      <c r="B293" s="1">
        <v>36</v>
      </c>
      <c r="C293" s="1">
        <v>1</v>
      </c>
      <c r="D293" s="1" t="s">
        <v>6</v>
      </c>
      <c r="E293" s="1">
        <v>3</v>
      </c>
      <c r="F293" s="21" t="s">
        <v>10</v>
      </c>
    </row>
    <row r="294" spans="1:6" x14ac:dyDescent="0.25">
      <c r="A294" s="10">
        <v>293</v>
      </c>
      <c r="B294" s="1">
        <v>42</v>
      </c>
      <c r="C294" s="1">
        <v>0</v>
      </c>
      <c r="D294" s="1" t="s">
        <v>8</v>
      </c>
      <c r="E294" s="1">
        <v>1</v>
      </c>
      <c r="F294" s="21" t="s">
        <v>9</v>
      </c>
    </row>
    <row r="295" spans="1:6" x14ac:dyDescent="0.25">
      <c r="A295" s="10">
        <v>294</v>
      </c>
      <c r="B295" s="1">
        <v>43</v>
      </c>
      <c r="C295" s="1">
        <v>1</v>
      </c>
      <c r="D295" s="1" t="s">
        <v>6</v>
      </c>
      <c r="E295" s="1">
        <v>2</v>
      </c>
      <c r="F295" s="21" t="s">
        <v>7</v>
      </c>
    </row>
    <row r="296" spans="1:6" x14ac:dyDescent="0.25">
      <c r="A296" s="10">
        <v>295</v>
      </c>
      <c r="B296" s="1">
        <v>36</v>
      </c>
      <c r="C296" s="1">
        <v>0</v>
      </c>
      <c r="D296" s="1" t="s">
        <v>8</v>
      </c>
      <c r="E296" s="1">
        <v>2</v>
      </c>
      <c r="F296" s="21" t="s">
        <v>7</v>
      </c>
    </row>
    <row r="297" spans="1:6" x14ac:dyDescent="0.25">
      <c r="A297" s="10">
        <v>296</v>
      </c>
      <c r="B297" s="1">
        <v>36</v>
      </c>
      <c r="C297" s="1">
        <v>0</v>
      </c>
      <c r="D297" s="1" t="s">
        <v>8</v>
      </c>
      <c r="E297" s="1">
        <v>1</v>
      </c>
      <c r="F297" s="21" t="s">
        <v>9</v>
      </c>
    </row>
    <row r="298" spans="1:6" x14ac:dyDescent="0.25">
      <c r="A298" s="10">
        <v>297</v>
      </c>
      <c r="B298" s="1">
        <v>35</v>
      </c>
      <c r="C298" s="1">
        <v>1</v>
      </c>
      <c r="D298" s="1" t="s">
        <v>6</v>
      </c>
      <c r="E298" s="1">
        <v>1</v>
      </c>
      <c r="F298" s="21" t="s">
        <v>9</v>
      </c>
    </row>
    <row r="299" spans="1:6" x14ac:dyDescent="0.25">
      <c r="A299" s="10">
        <v>298</v>
      </c>
      <c r="B299" s="1">
        <v>49</v>
      </c>
      <c r="C299" s="1">
        <v>1</v>
      </c>
      <c r="D299" s="1" t="s">
        <v>6</v>
      </c>
      <c r="E299" s="1">
        <v>1</v>
      </c>
      <c r="F299" s="21" t="s">
        <v>9</v>
      </c>
    </row>
    <row r="300" spans="1:6" x14ac:dyDescent="0.25">
      <c r="A300" s="10">
        <v>299</v>
      </c>
      <c r="B300" s="1">
        <v>33</v>
      </c>
      <c r="C300" s="1">
        <v>0</v>
      </c>
      <c r="D300" s="1" t="s">
        <v>8</v>
      </c>
      <c r="E300" s="1">
        <v>2</v>
      </c>
      <c r="F300" s="21" t="s">
        <v>7</v>
      </c>
    </row>
    <row r="301" spans="1:6" x14ac:dyDescent="0.25">
      <c r="A301" s="10">
        <v>300</v>
      </c>
      <c r="B301" s="1">
        <v>47</v>
      </c>
      <c r="C301" s="1">
        <v>0</v>
      </c>
      <c r="D301" s="1" t="s">
        <v>8</v>
      </c>
      <c r="E301" s="1">
        <v>3</v>
      </c>
      <c r="F301" s="21" t="s">
        <v>10</v>
      </c>
    </row>
    <row r="302" spans="1:6" x14ac:dyDescent="0.25">
      <c r="A302" s="10">
        <v>301</v>
      </c>
      <c r="B302" s="1">
        <v>31</v>
      </c>
      <c r="C302" s="1">
        <v>0</v>
      </c>
      <c r="D302" s="1" t="s">
        <v>8</v>
      </c>
      <c r="E302" s="1">
        <v>2</v>
      </c>
      <c r="F302" s="21" t="s">
        <v>7</v>
      </c>
    </row>
    <row r="303" spans="1:6" x14ac:dyDescent="0.25">
      <c r="A303" s="10">
        <v>302</v>
      </c>
      <c r="B303" s="1">
        <v>35</v>
      </c>
      <c r="C303" s="1">
        <v>1</v>
      </c>
      <c r="D303" s="1" t="s">
        <v>6</v>
      </c>
      <c r="E303" s="1">
        <v>1</v>
      </c>
      <c r="F303" s="21" t="s">
        <v>9</v>
      </c>
    </row>
    <row r="304" spans="1:6" x14ac:dyDescent="0.25">
      <c r="A304" s="10">
        <v>303</v>
      </c>
      <c r="B304" s="1">
        <v>40</v>
      </c>
      <c r="C304" s="1">
        <v>1</v>
      </c>
      <c r="D304" s="1" t="s">
        <v>6</v>
      </c>
      <c r="E304" s="1">
        <v>1</v>
      </c>
      <c r="F304" s="21" t="s">
        <v>9</v>
      </c>
    </row>
    <row r="305" spans="1:6" x14ac:dyDescent="0.25">
      <c r="A305" s="10">
        <v>304</v>
      </c>
      <c r="B305" s="1">
        <v>35</v>
      </c>
      <c r="C305" s="1">
        <v>0</v>
      </c>
      <c r="D305" s="1" t="s">
        <v>8</v>
      </c>
      <c r="E305" s="1">
        <v>2</v>
      </c>
      <c r="F305" s="21" t="s">
        <v>7</v>
      </c>
    </row>
    <row r="306" spans="1:6" x14ac:dyDescent="0.25">
      <c r="A306" s="10">
        <v>305</v>
      </c>
      <c r="B306" s="1">
        <v>31</v>
      </c>
      <c r="C306" s="1">
        <v>0</v>
      </c>
      <c r="D306" s="1" t="s">
        <v>8</v>
      </c>
      <c r="E306" s="1">
        <v>3</v>
      </c>
      <c r="F306" s="21" t="s">
        <v>10</v>
      </c>
    </row>
    <row r="307" spans="1:6" x14ac:dyDescent="0.25">
      <c r="A307" s="10">
        <v>306</v>
      </c>
      <c r="B307" s="1">
        <v>32</v>
      </c>
      <c r="C307" s="1">
        <v>1</v>
      </c>
      <c r="D307" s="1" t="s">
        <v>6</v>
      </c>
      <c r="E307" s="1">
        <v>2</v>
      </c>
      <c r="F307" s="21" t="s">
        <v>7</v>
      </c>
    </row>
    <row r="308" spans="1:6" x14ac:dyDescent="0.25">
      <c r="A308" s="10">
        <v>307</v>
      </c>
      <c r="B308" s="1">
        <v>48</v>
      </c>
      <c r="C308" s="1">
        <v>1</v>
      </c>
      <c r="D308" s="1" t="s">
        <v>6</v>
      </c>
      <c r="E308" s="1">
        <v>3</v>
      </c>
      <c r="F308" s="21" t="s">
        <v>10</v>
      </c>
    </row>
    <row r="309" spans="1:6" x14ac:dyDescent="0.25">
      <c r="A309" s="10">
        <v>308</v>
      </c>
      <c r="B309" s="1">
        <v>40</v>
      </c>
      <c r="C309" s="1">
        <v>0</v>
      </c>
      <c r="D309" s="1" t="s">
        <v>8</v>
      </c>
      <c r="E309" s="1">
        <v>3</v>
      </c>
      <c r="F309" s="21" t="s">
        <v>10</v>
      </c>
    </row>
    <row r="310" spans="1:6" x14ac:dyDescent="0.25">
      <c r="A310" s="10">
        <v>309</v>
      </c>
      <c r="B310" s="1">
        <v>30</v>
      </c>
      <c r="C310" s="1">
        <v>1</v>
      </c>
      <c r="D310" s="1" t="s">
        <v>6</v>
      </c>
      <c r="E310" s="1">
        <v>1</v>
      </c>
      <c r="F310" s="21" t="s">
        <v>9</v>
      </c>
    </row>
    <row r="311" spans="1:6" x14ac:dyDescent="0.25">
      <c r="A311" s="10">
        <v>310</v>
      </c>
      <c r="B311" s="1">
        <v>42</v>
      </c>
      <c r="C311" s="1">
        <v>1</v>
      </c>
      <c r="D311" s="1" t="s">
        <v>6</v>
      </c>
      <c r="E311" s="1">
        <v>1</v>
      </c>
      <c r="F311" s="21" t="s">
        <v>9</v>
      </c>
    </row>
    <row r="312" spans="1:6" x14ac:dyDescent="0.25">
      <c r="A312" s="10">
        <v>311</v>
      </c>
      <c r="B312" s="1">
        <v>41</v>
      </c>
      <c r="C312" s="1">
        <v>1</v>
      </c>
      <c r="D312" s="1" t="s">
        <v>6</v>
      </c>
      <c r="E312" s="1">
        <v>2</v>
      </c>
      <c r="F312" s="21" t="s">
        <v>7</v>
      </c>
    </row>
    <row r="313" spans="1:6" x14ac:dyDescent="0.25">
      <c r="A313" s="10">
        <v>312</v>
      </c>
      <c r="B313" s="1">
        <v>41</v>
      </c>
      <c r="C313" s="1">
        <v>1</v>
      </c>
      <c r="D313" s="1" t="s">
        <v>6</v>
      </c>
      <c r="E313" s="1">
        <v>3</v>
      </c>
      <c r="F313" s="21" t="s">
        <v>10</v>
      </c>
    </row>
    <row r="314" spans="1:6" x14ac:dyDescent="0.25">
      <c r="A314" s="10">
        <v>313</v>
      </c>
      <c r="B314" s="1">
        <v>30</v>
      </c>
      <c r="C314" s="1">
        <v>1</v>
      </c>
      <c r="D314" s="1" t="s">
        <v>6</v>
      </c>
      <c r="E314" s="1">
        <v>2</v>
      </c>
      <c r="F314" s="21" t="s">
        <v>7</v>
      </c>
    </row>
    <row r="315" spans="1:6" x14ac:dyDescent="0.25">
      <c r="A315" s="10">
        <v>314</v>
      </c>
      <c r="B315" s="1">
        <v>47</v>
      </c>
      <c r="C315" s="1">
        <v>0</v>
      </c>
      <c r="D315" s="1" t="s">
        <v>8</v>
      </c>
      <c r="E315" s="1">
        <v>1</v>
      </c>
      <c r="F315" s="21" t="s">
        <v>9</v>
      </c>
    </row>
    <row r="316" spans="1:6" x14ac:dyDescent="0.25">
      <c r="A316" s="10">
        <v>315</v>
      </c>
      <c r="B316" s="1">
        <v>45</v>
      </c>
      <c r="C316" s="1">
        <v>1</v>
      </c>
      <c r="D316" s="1" t="s">
        <v>6</v>
      </c>
      <c r="E316" s="1">
        <v>2</v>
      </c>
      <c r="F316" s="21" t="s">
        <v>7</v>
      </c>
    </row>
    <row r="317" spans="1:6" x14ac:dyDescent="0.25">
      <c r="A317" s="10">
        <v>316</v>
      </c>
      <c r="B317" s="1">
        <v>40</v>
      </c>
      <c r="C317" s="1">
        <v>0</v>
      </c>
      <c r="D317" s="1" t="s">
        <v>8</v>
      </c>
      <c r="E317" s="1">
        <v>3</v>
      </c>
      <c r="F317" s="21" t="s">
        <v>10</v>
      </c>
    </row>
    <row r="318" spans="1:6" x14ac:dyDescent="0.25">
      <c r="A318" s="10">
        <v>317</v>
      </c>
      <c r="B318" s="1">
        <v>35</v>
      </c>
      <c r="C318" s="1">
        <v>1</v>
      </c>
      <c r="D318" s="1" t="s">
        <v>6</v>
      </c>
      <c r="E318" s="1">
        <v>3</v>
      </c>
      <c r="F318" s="21" t="s">
        <v>10</v>
      </c>
    </row>
    <row r="319" spans="1:6" x14ac:dyDescent="0.25">
      <c r="A319" s="10">
        <v>318</v>
      </c>
      <c r="B319" s="1">
        <v>41</v>
      </c>
      <c r="C319" s="1">
        <v>0</v>
      </c>
      <c r="D319" s="1" t="s">
        <v>8</v>
      </c>
      <c r="E319" s="1">
        <v>3</v>
      </c>
      <c r="F319" s="21" t="s">
        <v>10</v>
      </c>
    </row>
    <row r="320" spans="1:6" x14ac:dyDescent="0.25">
      <c r="A320" s="10">
        <v>319</v>
      </c>
      <c r="B320" s="1">
        <v>33</v>
      </c>
      <c r="C320" s="1">
        <v>1</v>
      </c>
      <c r="D320" s="1" t="s">
        <v>6</v>
      </c>
      <c r="E320" s="1">
        <v>3</v>
      </c>
      <c r="F320" s="21" t="s">
        <v>10</v>
      </c>
    </row>
    <row r="321" spans="1:6" x14ac:dyDescent="0.25">
      <c r="A321" s="10">
        <v>320</v>
      </c>
      <c r="B321" s="1">
        <v>37</v>
      </c>
      <c r="C321" s="1">
        <v>1</v>
      </c>
      <c r="D321" s="1" t="s">
        <v>6</v>
      </c>
      <c r="E321" s="1">
        <v>1</v>
      </c>
      <c r="F321" s="21" t="s">
        <v>9</v>
      </c>
    </row>
    <row r="322" spans="1:6" x14ac:dyDescent="0.25">
      <c r="A322" s="10">
        <v>321</v>
      </c>
      <c r="B322" s="1">
        <v>38</v>
      </c>
      <c r="C322" s="1">
        <v>0</v>
      </c>
      <c r="D322" s="1" t="s">
        <v>8</v>
      </c>
      <c r="E322" s="1">
        <v>1</v>
      </c>
      <c r="F322" s="21" t="s">
        <v>9</v>
      </c>
    </row>
    <row r="323" spans="1:6" x14ac:dyDescent="0.25">
      <c r="A323" s="10">
        <v>322</v>
      </c>
      <c r="B323" s="1">
        <v>35</v>
      </c>
      <c r="C323" s="1">
        <v>0</v>
      </c>
      <c r="D323" s="1" t="s">
        <v>8</v>
      </c>
      <c r="E323" s="1">
        <v>1</v>
      </c>
      <c r="F323" s="21" t="s">
        <v>9</v>
      </c>
    </row>
    <row r="324" spans="1:6" x14ac:dyDescent="0.25">
      <c r="A324" s="10">
        <v>323</v>
      </c>
      <c r="B324" s="1">
        <v>34</v>
      </c>
      <c r="C324" s="1">
        <v>1</v>
      </c>
      <c r="D324" s="1" t="s">
        <v>6</v>
      </c>
      <c r="E324" s="1">
        <v>3</v>
      </c>
      <c r="F324" s="21" t="s">
        <v>10</v>
      </c>
    </row>
    <row r="325" spans="1:6" x14ac:dyDescent="0.25">
      <c r="A325" s="10">
        <v>324</v>
      </c>
      <c r="B325" s="1">
        <v>34</v>
      </c>
      <c r="C325" s="1">
        <v>1</v>
      </c>
      <c r="D325" s="1" t="s">
        <v>6</v>
      </c>
      <c r="E325" s="1">
        <v>3</v>
      </c>
      <c r="F325" s="21" t="s">
        <v>10</v>
      </c>
    </row>
    <row r="326" spans="1:6" x14ac:dyDescent="0.25">
      <c r="A326" s="10">
        <v>325</v>
      </c>
      <c r="B326" s="1">
        <v>37</v>
      </c>
      <c r="C326" s="1">
        <v>1</v>
      </c>
      <c r="D326" s="1" t="s">
        <v>6</v>
      </c>
      <c r="E326" s="1">
        <v>3</v>
      </c>
      <c r="F326" s="21" t="s">
        <v>10</v>
      </c>
    </row>
    <row r="327" spans="1:6" x14ac:dyDescent="0.25">
      <c r="A327" s="10">
        <v>326</v>
      </c>
      <c r="B327" s="1">
        <v>42</v>
      </c>
      <c r="C327" s="1">
        <v>0</v>
      </c>
      <c r="D327" s="1" t="s">
        <v>8</v>
      </c>
      <c r="E327" s="1">
        <v>3</v>
      </c>
      <c r="F327" s="21" t="s">
        <v>10</v>
      </c>
    </row>
    <row r="328" spans="1:6" x14ac:dyDescent="0.25">
      <c r="A328" s="10">
        <v>327</v>
      </c>
      <c r="B328" s="1">
        <v>40</v>
      </c>
      <c r="C328" s="1">
        <v>0</v>
      </c>
      <c r="D328" s="1" t="s">
        <v>8</v>
      </c>
      <c r="E328" s="1">
        <v>1</v>
      </c>
      <c r="F328" s="21" t="s">
        <v>9</v>
      </c>
    </row>
    <row r="329" spans="1:6" x14ac:dyDescent="0.25">
      <c r="A329" s="10">
        <v>328</v>
      </c>
      <c r="B329" s="1">
        <v>43</v>
      </c>
      <c r="C329" s="1">
        <v>1</v>
      </c>
      <c r="D329" s="1" t="s">
        <v>6</v>
      </c>
      <c r="E329" s="1">
        <v>3</v>
      </c>
      <c r="F329" s="21" t="s">
        <v>10</v>
      </c>
    </row>
    <row r="330" spans="1:6" x14ac:dyDescent="0.25">
      <c r="A330" s="10">
        <v>329</v>
      </c>
      <c r="B330" s="1">
        <v>35</v>
      </c>
      <c r="C330" s="1">
        <v>0</v>
      </c>
      <c r="D330" s="1" t="s">
        <v>8</v>
      </c>
      <c r="E330" s="1">
        <v>2</v>
      </c>
      <c r="F330" s="21" t="s">
        <v>7</v>
      </c>
    </row>
    <row r="331" spans="1:6" x14ac:dyDescent="0.25">
      <c r="A331" s="10">
        <v>330</v>
      </c>
      <c r="B331" s="1">
        <v>31</v>
      </c>
      <c r="C331" s="1">
        <v>0</v>
      </c>
      <c r="D331" s="1" t="s">
        <v>8</v>
      </c>
      <c r="E331" s="1">
        <v>3</v>
      </c>
      <c r="F331" s="21" t="s">
        <v>10</v>
      </c>
    </row>
    <row r="332" spans="1:6" x14ac:dyDescent="0.25">
      <c r="A332" s="10">
        <v>331</v>
      </c>
      <c r="B332" s="1">
        <v>30</v>
      </c>
      <c r="C332" s="1">
        <v>0</v>
      </c>
      <c r="D332" s="1" t="s">
        <v>8</v>
      </c>
      <c r="E332" s="1">
        <v>1</v>
      </c>
      <c r="F332" s="21" t="s">
        <v>9</v>
      </c>
    </row>
    <row r="333" spans="1:6" x14ac:dyDescent="0.25">
      <c r="A333" s="10">
        <v>332</v>
      </c>
      <c r="B333" s="1">
        <v>43</v>
      </c>
      <c r="C333" s="1">
        <v>0</v>
      </c>
      <c r="D333" s="1" t="s">
        <v>8</v>
      </c>
      <c r="E333" s="1">
        <v>1</v>
      </c>
      <c r="F333" s="21" t="s">
        <v>9</v>
      </c>
    </row>
    <row r="334" spans="1:6" x14ac:dyDescent="0.25">
      <c r="A334" s="10">
        <v>333</v>
      </c>
      <c r="B334" s="1">
        <v>35</v>
      </c>
      <c r="C334" s="1">
        <v>0</v>
      </c>
      <c r="D334" s="1" t="s">
        <v>8</v>
      </c>
      <c r="E334" s="1">
        <v>3</v>
      </c>
      <c r="F334" s="21" t="s">
        <v>10</v>
      </c>
    </row>
    <row r="335" spans="1:6" x14ac:dyDescent="0.25">
      <c r="A335" s="10">
        <v>334</v>
      </c>
      <c r="B335" s="1">
        <v>37</v>
      </c>
      <c r="C335" s="1">
        <v>0</v>
      </c>
      <c r="D335" s="1" t="s">
        <v>8</v>
      </c>
      <c r="E335" s="1">
        <v>1</v>
      </c>
      <c r="F335" s="21" t="s">
        <v>9</v>
      </c>
    </row>
    <row r="336" spans="1:6" x14ac:dyDescent="0.25">
      <c r="A336" s="10">
        <v>335</v>
      </c>
      <c r="B336" s="1">
        <v>45</v>
      </c>
      <c r="C336" s="1">
        <v>1</v>
      </c>
      <c r="D336" s="1" t="s">
        <v>6</v>
      </c>
      <c r="E336" s="1">
        <v>3</v>
      </c>
      <c r="F336" s="21" t="s">
        <v>10</v>
      </c>
    </row>
    <row r="337" spans="1:6" x14ac:dyDescent="0.25">
      <c r="A337" s="10">
        <v>336</v>
      </c>
      <c r="B337" s="1">
        <v>46</v>
      </c>
      <c r="C337" s="1">
        <v>1</v>
      </c>
      <c r="D337" s="1" t="s">
        <v>6</v>
      </c>
      <c r="E337" s="1">
        <v>3</v>
      </c>
      <c r="F337" s="21" t="s">
        <v>10</v>
      </c>
    </row>
    <row r="338" spans="1:6" x14ac:dyDescent="0.25">
      <c r="A338" s="10">
        <v>337</v>
      </c>
      <c r="B338" s="1">
        <v>40</v>
      </c>
      <c r="C338" s="1">
        <v>0</v>
      </c>
      <c r="D338" s="1" t="s">
        <v>8</v>
      </c>
      <c r="E338" s="1">
        <v>3</v>
      </c>
      <c r="F338" s="21" t="s">
        <v>10</v>
      </c>
    </row>
    <row r="339" spans="1:6" x14ac:dyDescent="0.25">
      <c r="A339" s="10">
        <v>338</v>
      </c>
      <c r="B339" s="1">
        <v>37</v>
      </c>
      <c r="C339" s="1">
        <v>0</v>
      </c>
      <c r="D339" s="1" t="s">
        <v>8</v>
      </c>
      <c r="E339" s="1">
        <v>1</v>
      </c>
      <c r="F339" s="21" t="s">
        <v>9</v>
      </c>
    </row>
    <row r="340" spans="1:6" x14ac:dyDescent="0.25">
      <c r="A340" s="10">
        <v>339</v>
      </c>
      <c r="B340" s="1">
        <v>37</v>
      </c>
      <c r="C340" s="1">
        <v>0</v>
      </c>
      <c r="D340" s="1" t="s">
        <v>8</v>
      </c>
      <c r="E340" s="1">
        <v>3</v>
      </c>
      <c r="F340" s="21" t="s">
        <v>10</v>
      </c>
    </row>
    <row r="341" spans="1:6" x14ac:dyDescent="0.25">
      <c r="A341" s="10">
        <v>340</v>
      </c>
      <c r="B341" s="1">
        <v>47</v>
      </c>
      <c r="C341" s="1">
        <v>1</v>
      </c>
      <c r="D341" s="1" t="s">
        <v>6</v>
      </c>
      <c r="E341" s="1">
        <v>1</v>
      </c>
      <c r="F341" s="21" t="s">
        <v>9</v>
      </c>
    </row>
    <row r="342" spans="1:6" x14ac:dyDescent="0.25">
      <c r="A342" s="10">
        <v>341</v>
      </c>
      <c r="B342" s="1">
        <v>46</v>
      </c>
      <c r="C342" s="1">
        <v>1</v>
      </c>
      <c r="D342" s="1" t="s">
        <v>6</v>
      </c>
      <c r="E342" s="1">
        <v>3</v>
      </c>
      <c r="F342" s="21" t="s">
        <v>10</v>
      </c>
    </row>
    <row r="343" spans="1:6" x14ac:dyDescent="0.25">
      <c r="A343" s="10">
        <v>342</v>
      </c>
      <c r="B343" s="1">
        <v>50</v>
      </c>
      <c r="C343" s="1">
        <v>0</v>
      </c>
      <c r="D343" s="1" t="s">
        <v>8</v>
      </c>
      <c r="E343" s="1">
        <v>1</v>
      </c>
      <c r="F343" s="21" t="s">
        <v>9</v>
      </c>
    </row>
    <row r="344" spans="1:6" x14ac:dyDescent="0.25">
      <c r="A344" s="10">
        <v>343</v>
      </c>
      <c r="B344" s="1">
        <v>37</v>
      </c>
      <c r="C344" s="1">
        <v>0</v>
      </c>
      <c r="D344" s="1" t="s">
        <v>8</v>
      </c>
      <c r="E344" s="1">
        <v>2</v>
      </c>
      <c r="F344" s="21" t="s">
        <v>7</v>
      </c>
    </row>
    <row r="345" spans="1:6" x14ac:dyDescent="0.25">
      <c r="A345" s="10">
        <v>344</v>
      </c>
      <c r="B345" s="1">
        <v>50</v>
      </c>
      <c r="C345" s="1">
        <v>1</v>
      </c>
      <c r="D345" s="1" t="s">
        <v>6</v>
      </c>
      <c r="E345" s="1">
        <v>3</v>
      </c>
      <c r="F345" s="21" t="s">
        <v>10</v>
      </c>
    </row>
    <row r="346" spans="1:6" x14ac:dyDescent="0.25">
      <c r="A346" s="10">
        <v>345</v>
      </c>
      <c r="B346" s="1">
        <v>35</v>
      </c>
      <c r="C346" s="1">
        <v>1</v>
      </c>
      <c r="D346" s="1" t="s">
        <v>6</v>
      </c>
      <c r="E346" s="1">
        <v>3</v>
      </c>
      <c r="F346" s="21" t="s">
        <v>10</v>
      </c>
    </row>
    <row r="347" spans="1:6" x14ac:dyDescent="0.25">
      <c r="A347" s="10">
        <v>346</v>
      </c>
      <c r="B347" s="1">
        <v>36</v>
      </c>
      <c r="C347" s="1">
        <v>1</v>
      </c>
      <c r="D347" s="1" t="s">
        <v>6</v>
      </c>
      <c r="E347" s="1">
        <v>1</v>
      </c>
      <c r="F347" s="21" t="s">
        <v>9</v>
      </c>
    </row>
    <row r="348" spans="1:6" x14ac:dyDescent="0.25">
      <c r="A348" s="10">
        <v>347</v>
      </c>
      <c r="B348" s="1">
        <v>33</v>
      </c>
      <c r="C348" s="1">
        <v>1</v>
      </c>
      <c r="D348" s="1" t="s">
        <v>6</v>
      </c>
      <c r="E348" s="1">
        <v>2</v>
      </c>
      <c r="F348" s="21" t="s">
        <v>7</v>
      </c>
    </row>
    <row r="349" spans="1:6" x14ac:dyDescent="0.25">
      <c r="A349" s="10">
        <v>348</v>
      </c>
      <c r="B349" s="1">
        <v>47</v>
      </c>
      <c r="C349" s="1">
        <v>1</v>
      </c>
      <c r="D349" s="1" t="s">
        <v>6</v>
      </c>
      <c r="E349" s="1">
        <v>3</v>
      </c>
      <c r="F349" s="21" t="s">
        <v>10</v>
      </c>
    </row>
    <row r="350" spans="1:6" x14ac:dyDescent="0.25">
      <c r="A350" s="10">
        <v>349</v>
      </c>
      <c r="B350" s="1">
        <v>31</v>
      </c>
      <c r="C350" s="1">
        <v>0</v>
      </c>
      <c r="D350" s="1" t="s">
        <v>8</v>
      </c>
      <c r="E350" s="1">
        <v>3</v>
      </c>
      <c r="F350" s="21" t="s">
        <v>10</v>
      </c>
    </row>
    <row r="351" spans="1:6" x14ac:dyDescent="0.25">
      <c r="A351" s="10">
        <v>350</v>
      </c>
      <c r="B351" s="1">
        <v>34</v>
      </c>
      <c r="C351" s="1">
        <v>0</v>
      </c>
      <c r="D351" s="1" t="s">
        <v>8</v>
      </c>
      <c r="E351" s="1">
        <v>3</v>
      </c>
      <c r="F351" s="21" t="s">
        <v>10</v>
      </c>
    </row>
    <row r="352" spans="1:6" x14ac:dyDescent="0.25">
      <c r="A352" s="10">
        <v>351</v>
      </c>
      <c r="B352" s="1">
        <v>49</v>
      </c>
      <c r="C352" s="1">
        <v>0</v>
      </c>
      <c r="D352" s="1" t="s">
        <v>8</v>
      </c>
      <c r="E352" s="1">
        <v>3</v>
      </c>
      <c r="F352" s="21" t="s">
        <v>10</v>
      </c>
    </row>
    <row r="353" spans="1:6" x14ac:dyDescent="0.25">
      <c r="A353" s="10">
        <v>352</v>
      </c>
      <c r="B353" s="1">
        <v>33</v>
      </c>
      <c r="C353" s="1">
        <v>1</v>
      </c>
      <c r="D353" s="1" t="s">
        <v>6</v>
      </c>
      <c r="E353" s="1">
        <v>3</v>
      </c>
      <c r="F353" s="21" t="s">
        <v>10</v>
      </c>
    </row>
    <row r="354" spans="1:6" x14ac:dyDescent="0.25">
      <c r="A354" s="10">
        <v>353</v>
      </c>
      <c r="B354" s="1">
        <v>32</v>
      </c>
      <c r="C354" s="1">
        <v>1</v>
      </c>
      <c r="D354" s="1" t="s">
        <v>6</v>
      </c>
      <c r="E354" s="1">
        <v>3</v>
      </c>
      <c r="F354" s="21" t="s">
        <v>10</v>
      </c>
    </row>
    <row r="355" spans="1:6" x14ac:dyDescent="0.25">
      <c r="A355" s="10">
        <v>354</v>
      </c>
      <c r="B355" s="1">
        <v>44</v>
      </c>
      <c r="C355" s="1">
        <v>1</v>
      </c>
      <c r="D355" s="1" t="s">
        <v>6</v>
      </c>
      <c r="E355" s="1">
        <v>2</v>
      </c>
      <c r="F355" s="21" t="s">
        <v>7</v>
      </c>
    </row>
    <row r="356" spans="1:6" x14ac:dyDescent="0.25">
      <c r="A356" s="10">
        <v>355</v>
      </c>
      <c r="B356" s="1">
        <v>47</v>
      </c>
      <c r="C356" s="1">
        <v>1</v>
      </c>
      <c r="D356" s="1" t="s">
        <v>6</v>
      </c>
      <c r="E356" s="1">
        <v>1</v>
      </c>
      <c r="F356" s="21" t="s">
        <v>9</v>
      </c>
    </row>
    <row r="357" spans="1:6" x14ac:dyDescent="0.25">
      <c r="A357" s="10">
        <v>356</v>
      </c>
      <c r="B357" s="1">
        <v>32</v>
      </c>
      <c r="C357" s="1">
        <v>0</v>
      </c>
      <c r="D357" s="1" t="s">
        <v>8</v>
      </c>
      <c r="E357" s="1">
        <v>2</v>
      </c>
      <c r="F357" s="21" t="s">
        <v>7</v>
      </c>
    </row>
    <row r="358" spans="1:6" x14ac:dyDescent="0.25">
      <c r="A358" s="10">
        <v>357</v>
      </c>
      <c r="B358" s="1">
        <v>49</v>
      </c>
      <c r="C358" s="1">
        <v>1</v>
      </c>
      <c r="D358" s="1" t="s">
        <v>6</v>
      </c>
      <c r="E358" s="1">
        <v>3</v>
      </c>
      <c r="F358" s="21" t="s">
        <v>10</v>
      </c>
    </row>
    <row r="359" spans="1:6" x14ac:dyDescent="0.25">
      <c r="A359" s="10">
        <v>358</v>
      </c>
      <c r="B359" s="1">
        <v>49</v>
      </c>
      <c r="C359" s="1">
        <v>1</v>
      </c>
      <c r="D359" s="1" t="s">
        <v>6</v>
      </c>
      <c r="E359" s="1">
        <v>2</v>
      </c>
      <c r="F359" s="21" t="s">
        <v>7</v>
      </c>
    </row>
    <row r="360" spans="1:6" x14ac:dyDescent="0.25">
      <c r="A360" s="10">
        <v>359</v>
      </c>
      <c r="B360" s="1">
        <v>30</v>
      </c>
      <c r="C360" s="1">
        <v>0</v>
      </c>
      <c r="D360" s="1" t="s">
        <v>8</v>
      </c>
      <c r="E360" s="1">
        <v>2</v>
      </c>
      <c r="F360" s="21" t="s">
        <v>7</v>
      </c>
    </row>
    <row r="361" spans="1:6" x14ac:dyDescent="0.25">
      <c r="A361" s="10">
        <v>360</v>
      </c>
      <c r="B361" s="1">
        <v>33</v>
      </c>
      <c r="C361" s="1">
        <v>1</v>
      </c>
      <c r="D361" s="1" t="s">
        <v>6</v>
      </c>
      <c r="E361" s="1">
        <v>1</v>
      </c>
      <c r="F361" s="21" t="s">
        <v>9</v>
      </c>
    </row>
    <row r="362" spans="1:6" x14ac:dyDescent="0.25">
      <c r="A362" s="10">
        <v>361</v>
      </c>
      <c r="B362" s="1">
        <v>31</v>
      </c>
      <c r="C362" s="1">
        <v>0</v>
      </c>
      <c r="D362" s="1" t="s">
        <v>8</v>
      </c>
      <c r="E362" s="1">
        <v>3</v>
      </c>
      <c r="F362" s="21" t="s">
        <v>10</v>
      </c>
    </row>
    <row r="363" spans="1:6" x14ac:dyDescent="0.25">
      <c r="A363" s="10">
        <v>362</v>
      </c>
      <c r="B363" s="1">
        <v>50</v>
      </c>
      <c r="C363" s="1">
        <v>0</v>
      </c>
      <c r="D363" s="1" t="s">
        <v>8</v>
      </c>
      <c r="E363" s="1">
        <v>3</v>
      </c>
      <c r="F363" s="21" t="s">
        <v>10</v>
      </c>
    </row>
    <row r="364" spans="1:6" x14ac:dyDescent="0.25">
      <c r="A364" s="10">
        <v>363</v>
      </c>
      <c r="B364" s="1">
        <v>37</v>
      </c>
      <c r="C364" s="1">
        <v>1</v>
      </c>
      <c r="D364" s="1" t="s">
        <v>6</v>
      </c>
      <c r="E364" s="1">
        <v>1</v>
      </c>
      <c r="F364" s="21" t="s">
        <v>9</v>
      </c>
    </row>
    <row r="365" spans="1:6" x14ac:dyDescent="0.25">
      <c r="A365" s="10">
        <v>364</v>
      </c>
      <c r="B365" s="1">
        <v>40</v>
      </c>
      <c r="C365" s="1">
        <v>0</v>
      </c>
      <c r="D365" s="1" t="s">
        <v>8</v>
      </c>
      <c r="E365" s="1">
        <v>1</v>
      </c>
      <c r="F365" s="21" t="s">
        <v>9</v>
      </c>
    </row>
    <row r="366" spans="1:6" x14ac:dyDescent="0.25">
      <c r="A366" s="10">
        <v>365</v>
      </c>
      <c r="B366" s="1">
        <v>41</v>
      </c>
      <c r="C366" s="1">
        <v>1</v>
      </c>
      <c r="D366" s="1" t="s">
        <v>6</v>
      </c>
      <c r="E366" s="1">
        <v>1</v>
      </c>
      <c r="F366" s="21" t="s">
        <v>9</v>
      </c>
    </row>
    <row r="367" spans="1:6" x14ac:dyDescent="0.25">
      <c r="A367" s="10">
        <v>366</v>
      </c>
      <c r="B367" s="1">
        <v>42</v>
      </c>
      <c r="C367" s="1">
        <v>0</v>
      </c>
      <c r="D367" s="1" t="s">
        <v>8</v>
      </c>
      <c r="E367" s="1">
        <v>1</v>
      </c>
      <c r="F367" s="21" t="s">
        <v>9</v>
      </c>
    </row>
    <row r="368" spans="1:6" x14ac:dyDescent="0.25">
      <c r="A368" s="10">
        <v>367</v>
      </c>
      <c r="B368" s="1">
        <v>31</v>
      </c>
      <c r="C368" s="1">
        <v>1</v>
      </c>
      <c r="D368" s="1" t="s">
        <v>6</v>
      </c>
      <c r="E368" s="1">
        <v>2</v>
      </c>
      <c r="F368" s="21" t="s">
        <v>7</v>
      </c>
    </row>
    <row r="369" spans="1:6" x14ac:dyDescent="0.25">
      <c r="A369" s="10">
        <v>368</v>
      </c>
      <c r="B369" s="1">
        <v>44</v>
      </c>
      <c r="C369" s="1">
        <v>0</v>
      </c>
      <c r="D369" s="1" t="s">
        <v>8</v>
      </c>
      <c r="E369" s="1">
        <v>1</v>
      </c>
      <c r="F369" s="21" t="s">
        <v>9</v>
      </c>
    </row>
    <row r="370" spans="1:6" x14ac:dyDescent="0.25">
      <c r="A370" s="10">
        <v>369</v>
      </c>
      <c r="B370" s="1">
        <v>37</v>
      </c>
      <c r="C370" s="1">
        <v>0</v>
      </c>
      <c r="D370" s="1" t="s">
        <v>8</v>
      </c>
      <c r="E370" s="1">
        <v>3</v>
      </c>
      <c r="F370" s="21" t="s">
        <v>10</v>
      </c>
    </row>
    <row r="371" spans="1:6" x14ac:dyDescent="0.25">
      <c r="A371" s="10">
        <v>370</v>
      </c>
      <c r="B371" s="1">
        <v>45</v>
      </c>
      <c r="C371" s="1">
        <v>0</v>
      </c>
      <c r="D371" s="1" t="s">
        <v>8</v>
      </c>
      <c r="E371" s="1">
        <v>1</v>
      </c>
      <c r="F371" s="21" t="s">
        <v>9</v>
      </c>
    </row>
    <row r="372" spans="1:6" x14ac:dyDescent="0.25">
      <c r="A372" s="10">
        <v>371</v>
      </c>
      <c r="B372" s="1">
        <v>31</v>
      </c>
      <c r="C372" s="1">
        <v>0</v>
      </c>
      <c r="D372" s="1" t="s">
        <v>8</v>
      </c>
      <c r="E372" s="1">
        <v>3</v>
      </c>
      <c r="F372" s="21" t="s">
        <v>10</v>
      </c>
    </row>
    <row r="373" spans="1:6" x14ac:dyDescent="0.25">
      <c r="A373" s="10">
        <v>372</v>
      </c>
      <c r="B373" s="1">
        <v>38</v>
      </c>
      <c r="C373" s="1">
        <v>0</v>
      </c>
      <c r="D373" s="1" t="s">
        <v>8</v>
      </c>
      <c r="E373" s="1">
        <v>3</v>
      </c>
      <c r="F373" s="21" t="s">
        <v>10</v>
      </c>
    </row>
    <row r="374" spans="1:6" x14ac:dyDescent="0.25">
      <c r="A374" s="10">
        <v>373</v>
      </c>
      <c r="B374" s="1">
        <v>35</v>
      </c>
      <c r="C374" s="1">
        <v>0</v>
      </c>
      <c r="D374" s="1" t="s">
        <v>8</v>
      </c>
      <c r="E374" s="1">
        <v>3</v>
      </c>
      <c r="F374" s="21" t="s">
        <v>10</v>
      </c>
    </row>
    <row r="375" spans="1:6" x14ac:dyDescent="0.25">
      <c r="A375" s="10">
        <v>374</v>
      </c>
      <c r="B375" s="1">
        <v>32</v>
      </c>
      <c r="C375" s="1">
        <v>0</v>
      </c>
      <c r="D375" s="1" t="s">
        <v>8</v>
      </c>
      <c r="E375" s="1">
        <v>1</v>
      </c>
      <c r="F375" s="21" t="s">
        <v>9</v>
      </c>
    </row>
    <row r="376" spans="1:6" x14ac:dyDescent="0.25">
      <c r="A376" s="10">
        <v>375</v>
      </c>
      <c r="B376" s="1">
        <v>34</v>
      </c>
      <c r="C376" s="1">
        <v>0</v>
      </c>
      <c r="D376" s="1" t="s">
        <v>8</v>
      </c>
      <c r="E376" s="1">
        <v>2</v>
      </c>
      <c r="F376" s="21" t="s">
        <v>7</v>
      </c>
    </row>
    <row r="377" spans="1:6" x14ac:dyDescent="0.25">
      <c r="A377" s="10">
        <v>376</v>
      </c>
      <c r="B377" s="1">
        <v>43</v>
      </c>
      <c r="C377" s="1">
        <v>0</v>
      </c>
      <c r="D377" s="1" t="s">
        <v>8</v>
      </c>
      <c r="E377" s="1">
        <v>1</v>
      </c>
      <c r="F377" s="21" t="s">
        <v>9</v>
      </c>
    </row>
    <row r="378" spans="1:6" x14ac:dyDescent="0.25">
      <c r="A378" s="10">
        <v>377</v>
      </c>
      <c r="B378" s="1">
        <v>41</v>
      </c>
      <c r="C378" s="1">
        <v>1</v>
      </c>
      <c r="D378" s="1" t="s">
        <v>6</v>
      </c>
      <c r="E378" s="1">
        <v>1</v>
      </c>
      <c r="F378" s="21" t="s">
        <v>9</v>
      </c>
    </row>
    <row r="379" spans="1:6" x14ac:dyDescent="0.25">
      <c r="A379" s="10">
        <v>378</v>
      </c>
      <c r="B379" s="1">
        <v>31</v>
      </c>
      <c r="C379" s="1">
        <v>1</v>
      </c>
      <c r="D379" s="1" t="s">
        <v>6</v>
      </c>
      <c r="E379" s="1">
        <v>2</v>
      </c>
      <c r="F379" s="21" t="s">
        <v>7</v>
      </c>
    </row>
    <row r="380" spans="1:6" x14ac:dyDescent="0.25">
      <c r="A380" s="10">
        <v>379</v>
      </c>
      <c r="B380" s="1">
        <v>43</v>
      </c>
      <c r="C380" s="1">
        <v>1</v>
      </c>
      <c r="D380" s="1" t="s">
        <v>6</v>
      </c>
      <c r="E380" s="1">
        <v>3</v>
      </c>
      <c r="F380" s="21" t="s">
        <v>10</v>
      </c>
    </row>
    <row r="381" spans="1:6" x14ac:dyDescent="0.25">
      <c r="A381" s="10">
        <v>380</v>
      </c>
      <c r="B381" s="1">
        <v>33</v>
      </c>
      <c r="C381" s="1">
        <v>0</v>
      </c>
      <c r="D381" s="1" t="s">
        <v>8</v>
      </c>
      <c r="E381" s="1">
        <v>2</v>
      </c>
      <c r="F381" s="21" t="s">
        <v>7</v>
      </c>
    </row>
    <row r="382" spans="1:6" x14ac:dyDescent="0.25">
      <c r="A382" s="10">
        <v>381</v>
      </c>
      <c r="B382" s="1">
        <v>46</v>
      </c>
      <c r="C382" s="1">
        <v>1</v>
      </c>
      <c r="D382" s="1" t="s">
        <v>6</v>
      </c>
      <c r="E382" s="1">
        <v>2</v>
      </c>
      <c r="F382" s="21" t="s">
        <v>7</v>
      </c>
    </row>
    <row r="383" spans="1:6" x14ac:dyDescent="0.25">
      <c r="A383" s="10">
        <v>382</v>
      </c>
      <c r="B383" s="1">
        <v>40</v>
      </c>
      <c r="C383" s="1">
        <v>1</v>
      </c>
      <c r="D383" s="1" t="s">
        <v>6</v>
      </c>
      <c r="E383" s="1">
        <v>1</v>
      </c>
      <c r="F383" s="21" t="s">
        <v>9</v>
      </c>
    </row>
    <row r="384" spans="1:6" x14ac:dyDescent="0.25">
      <c r="A384" s="10">
        <v>383</v>
      </c>
      <c r="B384" s="1">
        <v>31</v>
      </c>
      <c r="C384" s="1">
        <v>1</v>
      </c>
      <c r="D384" s="1" t="s">
        <v>6</v>
      </c>
      <c r="E384" s="1">
        <v>3</v>
      </c>
      <c r="F384" s="21" t="s">
        <v>10</v>
      </c>
    </row>
    <row r="385" spans="1:6" x14ac:dyDescent="0.25">
      <c r="A385" s="10">
        <v>384</v>
      </c>
      <c r="B385" s="1">
        <v>38</v>
      </c>
      <c r="C385" s="1">
        <v>1</v>
      </c>
      <c r="D385" s="1" t="s">
        <v>6</v>
      </c>
      <c r="E385" s="1">
        <v>2</v>
      </c>
      <c r="F385" s="21" t="s">
        <v>7</v>
      </c>
    </row>
    <row r="386" spans="1:6" x14ac:dyDescent="0.25">
      <c r="A386" s="10">
        <v>385</v>
      </c>
      <c r="B386" s="1">
        <v>44</v>
      </c>
      <c r="C386" s="1">
        <v>1</v>
      </c>
      <c r="D386" s="1" t="s">
        <v>6</v>
      </c>
      <c r="E386" s="1">
        <v>2</v>
      </c>
      <c r="F386" s="21" t="s">
        <v>7</v>
      </c>
    </row>
    <row r="387" spans="1:6" x14ac:dyDescent="0.25">
      <c r="A387" s="10">
        <v>386</v>
      </c>
      <c r="B387" s="1">
        <v>34</v>
      </c>
      <c r="C387" s="1">
        <v>0</v>
      </c>
      <c r="D387" s="1" t="s">
        <v>8</v>
      </c>
      <c r="E387" s="1">
        <v>1</v>
      </c>
      <c r="F387" s="21" t="s">
        <v>9</v>
      </c>
    </row>
    <row r="388" spans="1:6" x14ac:dyDescent="0.25">
      <c r="A388" s="10">
        <v>387</v>
      </c>
      <c r="B388" s="1">
        <v>34</v>
      </c>
      <c r="C388" s="1">
        <v>0</v>
      </c>
      <c r="D388" s="1" t="s">
        <v>8</v>
      </c>
      <c r="E388" s="1">
        <v>1</v>
      </c>
      <c r="F388" s="21" t="s">
        <v>9</v>
      </c>
    </row>
    <row r="389" spans="1:6" x14ac:dyDescent="0.25">
      <c r="A389" s="10">
        <v>388</v>
      </c>
      <c r="B389" s="1">
        <v>50</v>
      </c>
      <c r="C389" s="1">
        <v>1</v>
      </c>
      <c r="D389" s="1" t="s">
        <v>6</v>
      </c>
      <c r="E389" s="1">
        <v>3</v>
      </c>
      <c r="F389" s="21" t="s">
        <v>10</v>
      </c>
    </row>
    <row r="390" spans="1:6" x14ac:dyDescent="0.25">
      <c r="A390" s="10">
        <v>389</v>
      </c>
      <c r="B390" s="1">
        <v>31</v>
      </c>
      <c r="C390" s="1">
        <v>0</v>
      </c>
      <c r="D390" s="1" t="s">
        <v>8</v>
      </c>
      <c r="E390" s="1">
        <v>2</v>
      </c>
      <c r="F390" s="21" t="s">
        <v>7</v>
      </c>
    </row>
    <row r="391" spans="1:6" x14ac:dyDescent="0.25">
      <c r="A391" s="10">
        <v>390</v>
      </c>
      <c r="B391" s="1">
        <v>37</v>
      </c>
      <c r="C391" s="1">
        <v>1</v>
      </c>
      <c r="D391" s="1" t="s">
        <v>6</v>
      </c>
      <c r="E391" s="1">
        <v>2</v>
      </c>
      <c r="F391" s="21" t="s">
        <v>7</v>
      </c>
    </row>
    <row r="392" spans="1:6" x14ac:dyDescent="0.25">
      <c r="A392" s="10">
        <v>391</v>
      </c>
      <c r="B392" s="1">
        <v>49</v>
      </c>
      <c r="C392" s="1">
        <v>0</v>
      </c>
      <c r="D392" s="1" t="s">
        <v>8</v>
      </c>
      <c r="E392" s="1">
        <v>1</v>
      </c>
      <c r="F392" s="21" t="s">
        <v>9</v>
      </c>
    </row>
    <row r="393" spans="1:6" x14ac:dyDescent="0.25">
      <c r="A393" s="10">
        <v>392</v>
      </c>
      <c r="B393" s="1">
        <v>50</v>
      </c>
      <c r="C393" s="1">
        <v>0</v>
      </c>
      <c r="D393" s="1" t="s">
        <v>8</v>
      </c>
      <c r="E393" s="1">
        <v>1</v>
      </c>
      <c r="F393" s="21" t="s">
        <v>9</v>
      </c>
    </row>
    <row r="394" spans="1:6" x14ac:dyDescent="0.25">
      <c r="A394" s="10">
        <v>393</v>
      </c>
      <c r="B394" s="1">
        <v>45</v>
      </c>
      <c r="C394" s="1">
        <v>1</v>
      </c>
      <c r="D394" s="1" t="s">
        <v>6</v>
      </c>
      <c r="E394" s="1">
        <v>2</v>
      </c>
      <c r="F394" s="21" t="s">
        <v>7</v>
      </c>
    </row>
    <row r="395" spans="1:6" x14ac:dyDescent="0.25">
      <c r="A395" s="10">
        <v>394</v>
      </c>
      <c r="B395" s="1">
        <v>40</v>
      </c>
      <c r="C395" s="1">
        <v>0</v>
      </c>
      <c r="D395" s="1" t="s">
        <v>8</v>
      </c>
      <c r="E395" s="1">
        <v>2</v>
      </c>
      <c r="F395" s="21" t="s">
        <v>7</v>
      </c>
    </row>
    <row r="396" spans="1:6" x14ac:dyDescent="0.25">
      <c r="A396" s="10">
        <v>395</v>
      </c>
      <c r="B396" s="1">
        <v>42</v>
      </c>
      <c r="C396" s="1">
        <v>1</v>
      </c>
      <c r="D396" s="1" t="s">
        <v>6</v>
      </c>
      <c r="E396" s="1">
        <v>2</v>
      </c>
      <c r="F396" s="21" t="s">
        <v>7</v>
      </c>
    </row>
    <row r="397" spans="1:6" x14ac:dyDescent="0.25">
      <c r="A397" s="10">
        <v>396</v>
      </c>
      <c r="B397" s="1">
        <v>30</v>
      </c>
      <c r="C397" s="1">
        <v>1</v>
      </c>
      <c r="D397" s="1" t="s">
        <v>6</v>
      </c>
      <c r="E397" s="1">
        <v>2</v>
      </c>
      <c r="F397" s="21" t="s">
        <v>7</v>
      </c>
    </row>
    <row r="398" spans="1:6" x14ac:dyDescent="0.25">
      <c r="A398" s="10">
        <v>397</v>
      </c>
      <c r="B398" s="1">
        <v>49</v>
      </c>
      <c r="C398" s="1">
        <v>0</v>
      </c>
      <c r="D398" s="1" t="s">
        <v>8</v>
      </c>
      <c r="E398" s="1">
        <v>3</v>
      </c>
      <c r="F398" s="21" t="s">
        <v>10</v>
      </c>
    </row>
    <row r="399" spans="1:6" x14ac:dyDescent="0.25">
      <c r="A399" s="10">
        <v>398</v>
      </c>
      <c r="B399" s="1">
        <v>45</v>
      </c>
      <c r="C399" s="1">
        <v>1</v>
      </c>
      <c r="D399" s="1" t="s">
        <v>6</v>
      </c>
      <c r="E399" s="1">
        <v>3</v>
      </c>
      <c r="F399" s="21" t="s">
        <v>10</v>
      </c>
    </row>
    <row r="400" spans="1:6" x14ac:dyDescent="0.25">
      <c r="A400" s="10">
        <v>399</v>
      </c>
      <c r="B400" s="1">
        <v>45</v>
      </c>
      <c r="C400" s="1">
        <v>0</v>
      </c>
      <c r="D400" s="1" t="s">
        <v>8</v>
      </c>
      <c r="E400" s="1">
        <v>3</v>
      </c>
      <c r="F400" s="21" t="s">
        <v>10</v>
      </c>
    </row>
    <row r="401" spans="1:6" x14ac:dyDescent="0.25">
      <c r="A401" s="10">
        <v>400</v>
      </c>
      <c r="B401" s="1">
        <v>30</v>
      </c>
      <c r="C401" s="1">
        <v>0</v>
      </c>
      <c r="D401" s="1" t="s">
        <v>8</v>
      </c>
      <c r="E401" s="1">
        <v>2</v>
      </c>
      <c r="F401" s="21" t="s">
        <v>7</v>
      </c>
    </row>
    <row r="402" spans="1:6" x14ac:dyDescent="0.25">
      <c r="A402" s="10">
        <v>401</v>
      </c>
      <c r="B402" s="1">
        <v>42</v>
      </c>
      <c r="C402" s="1">
        <v>0</v>
      </c>
      <c r="D402" s="1" t="s">
        <v>8</v>
      </c>
      <c r="E402" s="1">
        <v>2</v>
      </c>
      <c r="F402" s="21" t="s">
        <v>7</v>
      </c>
    </row>
    <row r="403" spans="1:6" x14ac:dyDescent="0.25">
      <c r="A403" s="10">
        <v>402</v>
      </c>
      <c r="B403" s="1">
        <v>32</v>
      </c>
      <c r="C403" s="1">
        <v>1</v>
      </c>
      <c r="D403" s="1" t="s">
        <v>6</v>
      </c>
      <c r="E403" s="1">
        <v>3</v>
      </c>
      <c r="F403" s="21" t="s">
        <v>10</v>
      </c>
    </row>
    <row r="404" spans="1:6" x14ac:dyDescent="0.25">
      <c r="A404" s="10">
        <v>403</v>
      </c>
      <c r="B404" s="1">
        <v>34</v>
      </c>
      <c r="C404" s="1">
        <v>1</v>
      </c>
      <c r="D404" s="1" t="s">
        <v>6</v>
      </c>
      <c r="E404" s="1">
        <v>1</v>
      </c>
      <c r="F404" s="21" t="s">
        <v>9</v>
      </c>
    </row>
    <row r="405" spans="1:6" x14ac:dyDescent="0.25">
      <c r="A405" s="10">
        <v>404</v>
      </c>
      <c r="B405" s="1">
        <v>35</v>
      </c>
      <c r="C405" s="1">
        <v>1</v>
      </c>
      <c r="D405" s="1" t="s">
        <v>6</v>
      </c>
      <c r="E405" s="1">
        <v>3</v>
      </c>
      <c r="F405" s="21" t="s">
        <v>10</v>
      </c>
    </row>
    <row r="406" spans="1:6" x14ac:dyDescent="0.25">
      <c r="A406" s="10">
        <v>405</v>
      </c>
      <c r="B406" s="1">
        <v>36</v>
      </c>
      <c r="C406" s="1">
        <v>1</v>
      </c>
      <c r="D406" s="1" t="s">
        <v>6</v>
      </c>
      <c r="E406" s="1">
        <v>3</v>
      </c>
      <c r="F406" s="21" t="s">
        <v>10</v>
      </c>
    </row>
    <row r="407" spans="1:6" x14ac:dyDescent="0.25">
      <c r="A407" s="10">
        <v>406</v>
      </c>
      <c r="B407" s="1">
        <v>48</v>
      </c>
      <c r="C407" s="1">
        <v>0</v>
      </c>
      <c r="D407" s="1" t="s">
        <v>8</v>
      </c>
      <c r="E407" s="1">
        <v>3</v>
      </c>
      <c r="F407" s="21" t="s">
        <v>10</v>
      </c>
    </row>
    <row r="408" spans="1:6" x14ac:dyDescent="0.25">
      <c r="A408" s="10">
        <v>407</v>
      </c>
      <c r="B408" s="1">
        <v>33</v>
      </c>
      <c r="C408" s="1">
        <v>1</v>
      </c>
      <c r="D408" s="1" t="s">
        <v>6</v>
      </c>
      <c r="E408" s="1">
        <v>1</v>
      </c>
      <c r="F408" s="21" t="s">
        <v>9</v>
      </c>
    </row>
    <row r="409" spans="1:6" x14ac:dyDescent="0.25">
      <c r="A409" s="10">
        <v>408</v>
      </c>
      <c r="B409" s="1">
        <v>31</v>
      </c>
      <c r="C409" s="1">
        <v>0</v>
      </c>
      <c r="D409" s="1" t="s">
        <v>8</v>
      </c>
      <c r="E409" s="1">
        <v>2</v>
      </c>
      <c r="F409" s="21" t="s">
        <v>7</v>
      </c>
    </row>
    <row r="410" spans="1:6" x14ac:dyDescent="0.25">
      <c r="A410" s="10">
        <v>409</v>
      </c>
      <c r="B410" s="1">
        <v>41</v>
      </c>
      <c r="C410" s="1">
        <v>1</v>
      </c>
      <c r="D410" s="1" t="s">
        <v>6</v>
      </c>
      <c r="E410" s="1">
        <v>1</v>
      </c>
      <c r="F410" s="21" t="s">
        <v>9</v>
      </c>
    </row>
    <row r="411" spans="1:6" x14ac:dyDescent="0.25">
      <c r="A411" s="10">
        <v>410</v>
      </c>
      <c r="B411" s="1">
        <v>37</v>
      </c>
      <c r="C411" s="1">
        <v>1</v>
      </c>
      <c r="D411" s="1" t="s">
        <v>6</v>
      </c>
      <c r="E411" s="1">
        <v>3</v>
      </c>
      <c r="F411" s="21" t="s">
        <v>10</v>
      </c>
    </row>
    <row r="412" spans="1:6" x14ac:dyDescent="0.25">
      <c r="A412" s="10">
        <v>411</v>
      </c>
      <c r="B412" s="1">
        <v>35</v>
      </c>
      <c r="C412" s="1">
        <v>1</v>
      </c>
      <c r="D412" s="1" t="s">
        <v>6</v>
      </c>
      <c r="E412" s="1">
        <v>1</v>
      </c>
      <c r="F412" s="21" t="s">
        <v>9</v>
      </c>
    </row>
    <row r="413" spans="1:6" x14ac:dyDescent="0.25">
      <c r="A413" s="10">
        <v>412</v>
      </c>
      <c r="B413" s="1">
        <v>30</v>
      </c>
      <c r="C413" s="1">
        <v>1</v>
      </c>
      <c r="D413" s="1" t="s">
        <v>6</v>
      </c>
      <c r="E413" s="1">
        <v>1</v>
      </c>
      <c r="F413" s="21" t="s">
        <v>9</v>
      </c>
    </row>
    <row r="414" spans="1:6" x14ac:dyDescent="0.25">
      <c r="A414" s="10">
        <v>413</v>
      </c>
      <c r="B414" s="1">
        <v>37</v>
      </c>
      <c r="C414" s="1">
        <v>0</v>
      </c>
      <c r="D414" s="1" t="s">
        <v>8</v>
      </c>
      <c r="E414" s="1">
        <v>1</v>
      </c>
      <c r="F414" s="21" t="s">
        <v>9</v>
      </c>
    </row>
    <row r="415" spans="1:6" x14ac:dyDescent="0.25">
      <c r="A415" s="10">
        <v>414</v>
      </c>
      <c r="B415" s="1">
        <v>45</v>
      </c>
      <c r="C415" s="1">
        <v>0</v>
      </c>
      <c r="D415" s="1" t="s">
        <v>8</v>
      </c>
      <c r="E415" s="1">
        <v>1</v>
      </c>
      <c r="F415" s="21" t="s">
        <v>9</v>
      </c>
    </row>
    <row r="416" spans="1:6" x14ac:dyDescent="0.25">
      <c r="A416" s="10">
        <v>415</v>
      </c>
      <c r="B416" s="1">
        <v>33</v>
      </c>
      <c r="C416" s="1">
        <v>0</v>
      </c>
      <c r="D416" s="1" t="s">
        <v>8</v>
      </c>
      <c r="E416" s="1">
        <v>2</v>
      </c>
      <c r="F416" s="21" t="s">
        <v>7</v>
      </c>
    </row>
    <row r="417" spans="1:6" x14ac:dyDescent="0.25">
      <c r="A417" s="10">
        <v>416</v>
      </c>
      <c r="B417" s="1">
        <v>35</v>
      </c>
      <c r="C417" s="1">
        <v>0</v>
      </c>
      <c r="D417" s="1" t="s">
        <v>8</v>
      </c>
      <c r="E417" s="1">
        <v>1</v>
      </c>
      <c r="F417" s="21" t="s">
        <v>9</v>
      </c>
    </row>
    <row r="418" spans="1:6" x14ac:dyDescent="0.25">
      <c r="A418" s="10">
        <v>417</v>
      </c>
      <c r="B418" s="1">
        <v>49</v>
      </c>
      <c r="C418" s="1">
        <v>0</v>
      </c>
      <c r="D418" s="1" t="s">
        <v>8</v>
      </c>
      <c r="E418" s="1">
        <v>3</v>
      </c>
      <c r="F418" s="21" t="s">
        <v>10</v>
      </c>
    </row>
    <row r="419" spans="1:6" x14ac:dyDescent="0.25">
      <c r="A419" s="10">
        <v>418</v>
      </c>
      <c r="B419" s="1">
        <v>42</v>
      </c>
      <c r="C419" s="1">
        <v>1</v>
      </c>
      <c r="D419" s="1" t="s">
        <v>6</v>
      </c>
      <c r="E419" s="1">
        <v>2</v>
      </c>
      <c r="F419" s="21" t="s">
        <v>7</v>
      </c>
    </row>
    <row r="420" spans="1:6" x14ac:dyDescent="0.25">
      <c r="A420" s="10">
        <v>419</v>
      </c>
      <c r="B420" s="1">
        <v>34</v>
      </c>
      <c r="C420" s="1">
        <v>1</v>
      </c>
      <c r="D420" s="1" t="s">
        <v>6</v>
      </c>
      <c r="E420" s="1">
        <v>3</v>
      </c>
      <c r="F420" s="21" t="s">
        <v>10</v>
      </c>
    </row>
    <row r="421" spans="1:6" x14ac:dyDescent="0.25">
      <c r="A421" s="10">
        <v>420</v>
      </c>
      <c r="B421" s="1">
        <v>33</v>
      </c>
      <c r="C421" s="1">
        <v>0</v>
      </c>
      <c r="D421" s="1" t="s">
        <v>8</v>
      </c>
      <c r="E421" s="1">
        <v>2</v>
      </c>
      <c r="F421" s="21" t="s">
        <v>7</v>
      </c>
    </row>
    <row r="422" spans="1:6" x14ac:dyDescent="0.25">
      <c r="A422" s="10">
        <v>421</v>
      </c>
      <c r="B422" s="1">
        <v>48</v>
      </c>
      <c r="C422" s="1">
        <v>0</v>
      </c>
      <c r="D422" s="1" t="s">
        <v>8</v>
      </c>
      <c r="E422" s="1">
        <v>1</v>
      </c>
      <c r="F422" s="21" t="s">
        <v>9</v>
      </c>
    </row>
    <row r="423" spans="1:6" x14ac:dyDescent="0.25">
      <c r="A423" s="10">
        <v>422</v>
      </c>
      <c r="B423" s="1">
        <v>35</v>
      </c>
      <c r="C423" s="1">
        <v>1</v>
      </c>
      <c r="D423" s="1" t="s">
        <v>6</v>
      </c>
      <c r="E423" s="1">
        <v>2</v>
      </c>
      <c r="F423" s="21" t="s">
        <v>7</v>
      </c>
    </row>
    <row r="424" spans="1:6" x14ac:dyDescent="0.25">
      <c r="A424" s="10">
        <v>423</v>
      </c>
      <c r="B424" s="1">
        <v>45</v>
      </c>
      <c r="C424" s="1">
        <v>0</v>
      </c>
      <c r="D424" s="1" t="s">
        <v>8</v>
      </c>
      <c r="E424" s="1">
        <v>1</v>
      </c>
      <c r="F424" s="21" t="s">
        <v>9</v>
      </c>
    </row>
    <row r="425" spans="1:6" x14ac:dyDescent="0.25">
      <c r="A425" s="10">
        <v>424</v>
      </c>
      <c r="B425" s="1">
        <v>37</v>
      </c>
      <c r="C425" s="1">
        <v>0</v>
      </c>
      <c r="D425" s="1" t="s">
        <v>8</v>
      </c>
      <c r="E425" s="1">
        <v>1</v>
      </c>
      <c r="F425" s="21" t="s">
        <v>9</v>
      </c>
    </row>
    <row r="426" spans="1:6" x14ac:dyDescent="0.25">
      <c r="A426" s="10">
        <v>425</v>
      </c>
      <c r="B426" s="1">
        <v>46</v>
      </c>
      <c r="C426" s="1">
        <v>1</v>
      </c>
      <c r="D426" s="1" t="s">
        <v>6</v>
      </c>
      <c r="E426" s="1">
        <v>1</v>
      </c>
      <c r="F426" s="21" t="s">
        <v>9</v>
      </c>
    </row>
    <row r="427" spans="1:6" x14ac:dyDescent="0.25">
      <c r="A427" s="10">
        <v>426</v>
      </c>
      <c r="B427" s="1">
        <v>34</v>
      </c>
      <c r="C427" s="1">
        <v>1</v>
      </c>
      <c r="D427" s="1" t="s">
        <v>6</v>
      </c>
      <c r="E427" s="1">
        <v>1</v>
      </c>
      <c r="F427" s="21" t="s">
        <v>9</v>
      </c>
    </row>
    <row r="428" spans="1:6" x14ac:dyDescent="0.25">
      <c r="A428" s="10">
        <v>427</v>
      </c>
      <c r="B428" s="1">
        <v>30</v>
      </c>
      <c r="C428" s="1">
        <v>1</v>
      </c>
      <c r="D428" s="1" t="s">
        <v>6</v>
      </c>
      <c r="E428" s="1">
        <v>3</v>
      </c>
      <c r="F428" s="21" t="s">
        <v>10</v>
      </c>
    </row>
    <row r="429" spans="1:6" x14ac:dyDescent="0.25">
      <c r="A429" s="10">
        <v>428</v>
      </c>
      <c r="B429" s="1">
        <v>49</v>
      </c>
      <c r="C429" s="1">
        <v>0</v>
      </c>
      <c r="D429" s="1" t="s">
        <v>8</v>
      </c>
      <c r="E429" s="1">
        <v>1</v>
      </c>
      <c r="F429" s="21" t="s">
        <v>9</v>
      </c>
    </row>
    <row r="430" spans="1:6" x14ac:dyDescent="0.25">
      <c r="A430" s="10">
        <v>429</v>
      </c>
      <c r="B430" s="1">
        <v>41</v>
      </c>
      <c r="C430" s="1">
        <v>0</v>
      </c>
      <c r="D430" s="1" t="s">
        <v>8</v>
      </c>
      <c r="E430" s="1">
        <v>3</v>
      </c>
      <c r="F430" s="21" t="s">
        <v>10</v>
      </c>
    </row>
    <row r="431" spans="1:6" x14ac:dyDescent="0.25">
      <c r="A431" s="10">
        <v>430</v>
      </c>
      <c r="B431" s="1">
        <v>36</v>
      </c>
      <c r="C431" s="1">
        <v>1</v>
      </c>
      <c r="D431" s="1" t="s">
        <v>6</v>
      </c>
      <c r="E431" s="1">
        <v>3</v>
      </c>
      <c r="F431" s="21" t="s">
        <v>10</v>
      </c>
    </row>
    <row r="432" spans="1:6" x14ac:dyDescent="0.25">
      <c r="A432" s="10">
        <v>431</v>
      </c>
      <c r="B432" s="1">
        <v>32</v>
      </c>
      <c r="C432" s="1">
        <v>1</v>
      </c>
      <c r="D432" s="1" t="s">
        <v>6</v>
      </c>
      <c r="E432" s="1">
        <v>3</v>
      </c>
      <c r="F432" s="21" t="s">
        <v>10</v>
      </c>
    </row>
    <row r="433" spans="1:6" x14ac:dyDescent="0.25">
      <c r="A433" s="10">
        <v>432</v>
      </c>
      <c r="B433" s="1">
        <v>38</v>
      </c>
      <c r="C433" s="1">
        <v>0</v>
      </c>
      <c r="D433" s="1" t="s">
        <v>8</v>
      </c>
      <c r="E433" s="1">
        <v>2</v>
      </c>
      <c r="F433" s="21" t="s">
        <v>7</v>
      </c>
    </row>
    <row r="434" spans="1:6" x14ac:dyDescent="0.25">
      <c r="A434" s="10">
        <v>433</v>
      </c>
      <c r="B434" s="1">
        <v>37</v>
      </c>
      <c r="C434" s="1">
        <v>1</v>
      </c>
      <c r="D434" s="1" t="s">
        <v>6</v>
      </c>
      <c r="E434" s="1">
        <v>1</v>
      </c>
      <c r="F434" s="21" t="s">
        <v>9</v>
      </c>
    </row>
    <row r="435" spans="1:6" x14ac:dyDescent="0.25">
      <c r="A435" s="10">
        <v>434</v>
      </c>
      <c r="B435" s="1">
        <v>41</v>
      </c>
      <c r="C435" s="1">
        <v>1</v>
      </c>
      <c r="D435" s="1" t="s">
        <v>6</v>
      </c>
      <c r="E435" s="1">
        <v>1</v>
      </c>
      <c r="F435" s="21" t="s">
        <v>9</v>
      </c>
    </row>
    <row r="436" spans="1:6" x14ac:dyDescent="0.25">
      <c r="A436" s="10">
        <v>435</v>
      </c>
      <c r="B436" s="1">
        <v>45</v>
      </c>
      <c r="C436" s="1">
        <v>1</v>
      </c>
      <c r="D436" s="1" t="s">
        <v>6</v>
      </c>
      <c r="E436" s="1">
        <v>1</v>
      </c>
      <c r="F436" s="21" t="s">
        <v>9</v>
      </c>
    </row>
    <row r="437" spans="1:6" x14ac:dyDescent="0.25">
      <c r="A437" s="10">
        <v>436</v>
      </c>
      <c r="B437" s="1">
        <v>31</v>
      </c>
      <c r="C437" s="1">
        <v>0</v>
      </c>
      <c r="D437" s="1" t="s">
        <v>8</v>
      </c>
      <c r="E437" s="1">
        <v>3</v>
      </c>
      <c r="F437" s="21" t="s">
        <v>10</v>
      </c>
    </row>
    <row r="438" spans="1:6" x14ac:dyDescent="0.25">
      <c r="A438" s="10">
        <v>437</v>
      </c>
      <c r="B438" s="1">
        <v>35</v>
      </c>
      <c r="C438" s="1">
        <v>1</v>
      </c>
      <c r="D438" s="1" t="s">
        <v>6</v>
      </c>
      <c r="E438" s="1">
        <v>1</v>
      </c>
      <c r="F438" s="21" t="s">
        <v>9</v>
      </c>
    </row>
    <row r="439" spans="1:6" x14ac:dyDescent="0.25">
      <c r="A439" s="10">
        <v>438</v>
      </c>
      <c r="B439" s="1">
        <v>50</v>
      </c>
      <c r="C439" s="1">
        <v>1</v>
      </c>
      <c r="D439" s="1" t="s">
        <v>6</v>
      </c>
      <c r="E439" s="1">
        <v>2</v>
      </c>
      <c r="F439" s="21" t="s">
        <v>7</v>
      </c>
    </row>
    <row r="440" spans="1:6" x14ac:dyDescent="0.25">
      <c r="A440" s="10">
        <v>439</v>
      </c>
      <c r="B440" s="1">
        <v>42</v>
      </c>
      <c r="C440" s="1">
        <v>0</v>
      </c>
      <c r="D440" s="1" t="s">
        <v>8</v>
      </c>
      <c r="E440" s="1">
        <v>3</v>
      </c>
      <c r="F440" s="21" t="s">
        <v>10</v>
      </c>
    </row>
    <row r="441" spans="1:6" x14ac:dyDescent="0.25">
      <c r="A441" s="10">
        <v>440</v>
      </c>
      <c r="B441" s="1">
        <v>45</v>
      </c>
      <c r="C441" s="1">
        <v>1</v>
      </c>
      <c r="D441" s="1" t="s">
        <v>6</v>
      </c>
      <c r="E441" s="1">
        <v>3</v>
      </c>
      <c r="F441" s="21" t="s">
        <v>10</v>
      </c>
    </row>
    <row r="442" spans="1:6" x14ac:dyDescent="0.25">
      <c r="A442" s="10">
        <v>441</v>
      </c>
      <c r="B442" s="1">
        <v>43</v>
      </c>
      <c r="C442" s="1">
        <v>1</v>
      </c>
      <c r="D442" s="1" t="s">
        <v>6</v>
      </c>
      <c r="E442" s="1">
        <v>2</v>
      </c>
      <c r="F442" s="21" t="s">
        <v>7</v>
      </c>
    </row>
    <row r="443" spans="1:6" x14ac:dyDescent="0.25">
      <c r="A443" s="10">
        <v>442</v>
      </c>
      <c r="B443" s="1">
        <v>30</v>
      </c>
      <c r="C443" s="1">
        <v>0</v>
      </c>
      <c r="D443" s="1" t="s">
        <v>8</v>
      </c>
      <c r="E443" s="1">
        <v>1</v>
      </c>
      <c r="F443" s="21" t="s">
        <v>9</v>
      </c>
    </row>
    <row r="444" spans="1:6" x14ac:dyDescent="0.25">
      <c r="A444" s="10">
        <v>443</v>
      </c>
      <c r="B444" s="1">
        <v>42</v>
      </c>
      <c r="C444" s="1">
        <v>0</v>
      </c>
      <c r="D444" s="1" t="s">
        <v>8</v>
      </c>
      <c r="E444" s="1">
        <v>3</v>
      </c>
      <c r="F444" s="21" t="s">
        <v>10</v>
      </c>
    </row>
    <row r="445" spans="1:6" x14ac:dyDescent="0.25">
      <c r="A445" s="10">
        <v>444</v>
      </c>
      <c r="B445" s="1">
        <v>37</v>
      </c>
      <c r="C445" s="1">
        <v>0</v>
      </c>
      <c r="D445" s="1" t="s">
        <v>8</v>
      </c>
      <c r="E445" s="1">
        <v>1</v>
      </c>
      <c r="F445" s="21" t="s">
        <v>9</v>
      </c>
    </row>
    <row r="446" spans="1:6" x14ac:dyDescent="0.25">
      <c r="A446" s="10">
        <v>445</v>
      </c>
      <c r="B446" s="1">
        <v>34</v>
      </c>
      <c r="C446" s="1">
        <v>1</v>
      </c>
      <c r="D446" s="1" t="s">
        <v>6</v>
      </c>
      <c r="E446" s="1">
        <v>3</v>
      </c>
      <c r="F446" s="21" t="s">
        <v>10</v>
      </c>
    </row>
    <row r="447" spans="1:6" x14ac:dyDescent="0.25">
      <c r="A447" s="10">
        <v>446</v>
      </c>
      <c r="B447" s="1">
        <v>48</v>
      </c>
      <c r="C447" s="1">
        <v>0</v>
      </c>
      <c r="D447" s="1" t="s">
        <v>8</v>
      </c>
      <c r="E447" s="1">
        <v>2</v>
      </c>
      <c r="F447" s="21" t="s">
        <v>7</v>
      </c>
    </row>
    <row r="448" spans="1:6" x14ac:dyDescent="0.25">
      <c r="A448" s="10">
        <v>447</v>
      </c>
      <c r="B448" s="1">
        <v>42</v>
      </c>
      <c r="C448" s="1">
        <v>1</v>
      </c>
      <c r="D448" s="1" t="s">
        <v>6</v>
      </c>
      <c r="E448" s="1">
        <v>1</v>
      </c>
      <c r="F448" s="21" t="s">
        <v>9</v>
      </c>
    </row>
    <row r="449" spans="1:6" x14ac:dyDescent="0.25">
      <c r="A449" s="10">
        <v>448</v>
      </c>
      <c r="B449" s="1">
        <v>50</v>
      </c>
      <c r="C449" s="1">
        <v>1</v>
      </c>
      <c r="D449" s="1" t="s">
        <v>6</v>
      </c>
      <c r="E449" s="1">
        <v>1</v>
      </c>
      <c r="F449" s="21" t="s">
        <v>9</v>
      </c>
    </row>
    <row r="450" spans="1:6" x14ac:dyDescent="0.25">
      <c r="A450" s="10">
        <v>449</v>
      </c>
      <c r="B450" s="1">
        <v>43</v>
      </c>
      <c r="C450" s="1">
        <v>1</v>
      </c>
      <c r="D450" s="1" t="s">
        <v>6</v>
      </c>
      <c r="E450" s="1">
        <v>2</v>
      </c>
      <c r="F450" s="21" t="s">
        <v>7</v>
      </c>
    </row>
    <row r="451" spans="1:6" x14ac:dyDescent="0.25">
      <c r="A451" s="10">
        <v>450</v>
      </c>
      <c r="B451" s="1">
        <v>40</v>
      </c>
      <c r="C451" s="1">
        <v>0</v>
      </c>
      <c r="D451" s="1" t="s">
        <v>8</v>
      </c>
      <c r="E451" s="1">
        <v>2</v>
      </c>
      <c r="F451" s="21" t="s">
        <v>7</v>
      </c>
    </row>
    <row r="452" spans="1:6" x14ac:dyDescent="0.25">
      <c r="A452" s="10">
        <v>451</v>
      </c>
      <c r="B452" s="1">
        <v>42</v>
      </c>
      <c r="C452" s="1">
        <v>1</v>
      </c>
      <c r="D452" s="1" t="s">
        <v>6</v>
      </c>
      <c r="E452" s="1">
        <v>3</v>
      </c>
      <c r="F452" s="21" t="s">
        <v>10</v>
      </c>
    </row>
    <row r="453" spans="1:6" x14ac:dyDescent="0.25">
      <c r="A453" s="10">
        <v>452</v>
      </c>
      <c r="B453" s="1">
        <v>43</v>
      </c>
      <c r="C453" s="1">
        <v>1</v>
      </c>
      <c r="D453" s="1" t="s">
        <v>6</v>
      </c>
      <c r="E453" s="1">
        <v>3</v>
      </c>
      <c r="F453" s="21" t="s">
        <v>10</v>
      </c>
    </row>
    <row r="454" spans="1:6" x14ac:dyDescent="0.25">
      <c r="A454" s="10">
        <v>453</v>
      </c>
      <c r="B454" s="1">
        <v>35</v>
      </c>
      <c r="C454" s="1">
        <v>0</v>
      </c>
      <c r="D454" s="1" t="s">
        <v>8</v>
      </c>
      <c r="E454" s="1">
        <v>1</v>
      </c>
      <c r="F454" s="21" t="s">
        <v>9</v>
      </c>
    </row>
    <row r="455" spans="1:6" x14ac:dyDescent="0.25">
      <c r="A455" s="10">
        <v>454</v>
      </c>
      <c r="B455" s="1">
        <v>39</v>
      </c>
      <c r="C455" s="1">
        <v>0</v>
      </c>
      <c r="D455" s="1" t="s">
        <v>8</v>
      </c>
      <c r="E455" s="1">
        <v>1</v>
      </c>
      <c r="F455" s="21" t="s">
        <v>9</v>
      </c>
    </row>
    <row r="456" spans="1:6" x14ac:dyDescent="0.25">
      <c r="A456" s="10">
        <v>455</v>
      </c>
      <c r="B456" s="1">
        <v>38</v>
      </c>
      <c r="C456" s="1">
        <v>0</v>
      </c>
      <c r="D456" s="1" t="s">
        <v>8</v>
      </c>
      <c r="E456" s="1">
        <v>2</v>
      </c>
      <c r="F456" s="21" t="s">
        <v>7</v>
      </c>
    </row>
    <row r="457" spans="1:6" x14ac:dyDescent="0.25">
      <c r="A457" s="10">
        <v>456</v>
      </c>
      <c r="B457" s="1">
        <v>31</v>
      </c>
      <c r="C457" s="1">
        <v>0</v>
      </c>
      <c r="D457" s="1" t="s">
        <v>8</v>
      </c>
      <c r="E457" s="1">
        <v>1</v>
      </c>
      <c r="F457" s="21" t="s">
        <v>9</v>
      </c>
    </row>
    <row r="458" spans="1:6" x14ac:dyDescent="0.25">
      <c r="A458" s="10">
        <v>457</v>
      </c>
      <c r="B458" s="1">
        <v>41</v>
      </c>
      <c r="C458" s="1">
        <v>1</v>
      </c>
      <c r="D458" s="1" t="s">
        <v>6</v>
      </c>
      <c r="E458" s="1">
        <v>2</v>
      </c>
      <c r="F458" s="21" t="s">
        <v>7</v>
      </c>
    </row>
    <row r="459" spans="1:6" x14ac:dyDescent="0.25">
      <c r="A459" s="10">
        <v>458</v>
      </c>
      <c r="B459" s="1">
        <v>39</v>
      </c>
      <c r="C459" s="1">
        <v>1</v>
      </c>
      <c r="D459" s="1" t="s">
        <v>6</v>
      </c>
      <c r="E459" s="1">
        <v>2</v>
      </c>
      <c r="F459" s="21" t="s">
        <v>7</v>
      </c>
    </row>
    <row r="460" spans="1:6" x14ac:dyDescent="0.25">
      <c r="A460" s="10">
        <v>459</v>
      </c>
      <c r="B460" s="1">
        <v>32</v>
      </c>
      <c r="C460" s="1">
        <v>0</v>
      </c>
      <c r="D460" s="1" t="s">
        <v>8</v>
      </c>
      <c r="E460" s="1">
        <v>3</v>
      </c>
      <c r="F460" s="21" t="s">
        <v>10</v>
      </c>
    </row>
    <row r="461" spans="1:6" x14ac:dyDescent="0.25">
      <c r="A461" s="10">
        <v>460</v>
      </c>
      <c r="B461" s="1">
        <v>38</v>
      </c>
      <c r="C461" s="1">
        <v>0</v>
      </c>
      <c r="D461" s="1" t="s">
        <v>8</v>
      </c>
      <c r="E461" s="1">
        <v>2</v>
      </c>
      <c r="F461" s="21" t="s">
        <v>7</v>
      </c>
    </row>
    <row r="462" spans="1:6" x14ac:dyDescent="0.25">
      <c r="A462" s="10">
        <v>461</v>
      </c>
      <c r="B462" s="1">
        <v>34</v>
      </c>
      <c r="C462" s="1">
        <v>1</v>
      </c>
      <c r="D462" s="1" t="s">
        <v>6</v>
      </c>
      <c r="E462" s="1">
        <v>1</v>
      </c>
      <c r="F462" s="21" t="s">
        <v>9</v>
      </c>
    </row>
    <row r="463" spans="1:6" x14ac:dyDescent="0.25">
      <c r="A463" s="10">
        <v>462</v>
      </c>
      <c r="B463" s="1">
        <v>50</v>
      </c>
      <c r="C463" s="1">
        <v>0</v>
      </c>
      <c r="D463" s="1" t="s">
        <v>8</v>
      </c>
      <c r="E463" s="1">
        <v>3</v>
      </c>
      <c r="F463" s="21" t="s">
        <v>10</v>
      </c>
    </row>
    <row r="464" spans="1:6" x14ac:dyDescent="0.25">
      <c r="A464" s="10">
        <v>463</v>
      </c>
      <c r="B464" s="1">
        <v>35</v>
      </c>
      <c r="C464" s="1">
        <v>0</v>
      </c>
      <c r="D464" s="1" t="s">
        <v>8</v>
      </c>
      <c r="E464" s="1">
        <v>3</v>
      </c>
      <c r="F464" s="21" t="s">
        <v>10</v>
      </c>
    </row>
    <row r="465" spans="1:6" x14ac:dyDescent="0.25">
      <c r="A465" s="10">
        <v>464</v>
      </c>
      <c r="B465" s="1">
        <v>49</v>
      </c>
      <c r="C465" s="1">
        <v>1</v>
      </c>
      <c r="D465" s="1" t="s">
        <v>6</v>
      </c>
      <c r="E465" s="1">
        <v>1</v>
      </c>
      <c r="F465" s="21" t="s">
        <v>9</v>
      </c>
    </row>
    <row r="466" spans="1:6" x14ac:dyDescent="0.25">
      <c r="A466" s="10">
        <v>465</v>
      </c>
      <c r="B466" s="1">
        <v>38</v>
      </c>
      <c r="C466" s="1">
        <v>1</v>
      </c>
      <c r="D466" s="1" t="s">
        <v>6</v>
      </c>
      <c r="E466" s="1">
        <v>1</v>
      </c>
      <c r="F466" s="21" t="s">
        <v>9</v>
      </c>
    </row>
    <row r="467" spans="1:6" x14ac:dyDescent="0.25">
      <c r="A467" s="10">
        <v>466</v>
      </c>
      <c r="B467" s="1">
        <v>34</v>
      </c>
      <c r="C467" s="1">
        <v>0</v>
      </c>
      <c r="D467" s="1" t="s">
        <v>8</v>
      </c>
      <c r="E467" s="1">
        <v>3</v>
      </c>
      <c r="F467" s="21" t="s">
        <v>10</v>
      </c>
    </row>
    <row r="468" spans="1:6" x14ac:dyDescent="0.25">
      <c r="A468" s="10">
        <v>467</v>
      </c>
      <c r="B468" s="1">
        <v>35</v>
      </c>
      <c r="C468" s="1">
        <v>0</v>
      </c>
      <c r="D468" s="1" t="s">
        <v>8</v>
      </c>
      <c r="E468" s="1">
        <v>2</v>
      </c>
      <c r="F468" s="21" t="s">
        <v>7</v>
      </c>
    </row>
    <row r="469" spans="1:6" x14ac:dyDescent="0.25">
      <c r="A469" s="10">
        <v>468</v>
      </c>
      <c r="B469" s="1">
        <v>36</v>
      </c>
      <c r="C469" s="1">
        <v>1</v>
      </c>
      <c r="D469" s="1" t="s">
        <v>6</v>
      </c>
      <c r="E469" s="1">
        <v>3</v>
      </c>
      <c r="F469" s="21" t="s">
        <v>10</v>
      </c>
    </row>
    <row r="470" spans="1:6" x14ac:dyDescent="0.25">
      <c r="A470" s="10">
        <v>469</v>
      </c>
      <c r="B470" s="1">
        <v>35</v>
      </c>
      <c r="C470" s="1">
        <v>1</v>
      </c>
      <c r="D470" s="1" t="s">
        <v>6</v>
      </c>
      <c r="E470" s="1">
        <v>1</v>
      </c>
      <c r="F470" s="21" t="s">
        <v>9</v>
      </c>
    </row>
    <row r="471" spans="1:6" x14ac:dyDescent="0.25">
      <c r="A471" s="10">
        <v>470</v>
      </c>
      <c r="B471" s="1">
        <v>40</v>
      </c>
      <c r="C471" s="1">
        <v>1</v>
      </c>
      <c r="D471" s="1" t="s">
        <v>6</v>
      </c>
      <c r="E471" s="1">
        <v>2</v>
      </c>
      <c r="F471" s="21" t="s">
        <v>7</v>
      </c>
    </row>
    <row r="472" spans="1:6" x14ac:dyDescent="0.25">
      <c r="A472" s="10">
        <v>471</v>
      </c>
      <c r="B472" s="1">
        <v>32</v>
      </c>
      <c r="C472" s="1">
        <v>0</v>
      </c>
      <c r="D472" s="1" t="s">
        <v>8</v>
      </c>
      <c r="E472" s="1">
        <v>3</v>
      </c>
      <c r="F472" s="21" t="s">
        <v>10</v>
      </c>
    </row>
    <row r="473" spans="1:6" x14ac:dyDescent="0.25">
      <c r="A473" s="10">
        <v>472</v>
      </c>
      <c r="B473" s="1">
        <v>42</v>
      </c>
      <c r="C473" s="1">
        <v>1</v>
      </c>
      <c r="D473" s="1" t="s">
        <v>6</v>
      </c>
      <c r="E473" s="1">
        <v>1</v>
      </c>
      <c r="F473" s="21" t="s">
        <v>9</v>
      </c>
    </row>
    <row r="474" spans="1:6" x14ac:dyDescent="0.25">
      <c r="A474" s="10">
        <v>473</v>
      </c>
      <c r="B474" s="1">
        <v>41</v>
      </c>
      <c r="C474" s="1">
        <v>1</v>
      </c>
      <c r="D474" s="1" t="s">
        <v>6</v>
      </c>
      <c r="E474" s="1">
        <v>2</v>
      </c>
      <c r="F474" s="21" t="s">
        <v>7</v>
      </c>
    </row>
    <row r="475" spans="1:6" x14ac:dyDescent="0.25">
      <c r="A475" s="10">
        <v>474</v>
      </c>
      <c r="B475" s="1">
        <v>34</v>
      </c>
      <c r="C475" s="1">
        <v>0</v>
      </c>
      <c r="D475" s="1" t="s">
        <v>8</v>
      </c>
      <c r="E475" s="1">
        <v>3</v>
      </c>
      <c r="F475" s="21" t="s">
        <v>10</v>
      </c>
    </row>
    <row r="476" spans="1:6" x14ac:dyDescent="0.25">
      <c r="A476" s="10">
        <v>475</v>
      </c>
      <c r="B476" s="1">
        <v>34</v>
      </c>
      <c r="C476" s="1">
        <v>1</v>
      </c>
      <c r="D476" s="1" t="s">
        <v>6</v>
      </c>
      <c r="E476" s="1">
        <v>3</v>
      </c>
      <c r="F476" s="21" t="s">
        <v>10</v>
      </c>
    </row>
    <row r="477" spans="1:6" x14ac:dyDescent="0.25">
      <c r="A477" s="10">
        <v>476</v>
      </c>
      <c r="B477" s="1">
        <v>50</v>
      </c>
      <c r="C477" s="1">
        <v>0</v>
      </c>
      <c r="D477" s="1" t="s">
        <v>8</v>
      </c>
      <c r="E477" s="1">
        <v>1</v>
      </c>
      <c r="F477" s="21" t="s">
        <v>9</v>
      </c>
    </row>
    <row r="478" spans="1:6" x14ac:dyDescent="0.25">
      <c r="A478" s="10">
        <v>477</v>
      </c>
      <c r="B478" s="1">
        <v>43</v>
      </c>
      <c r="C478" s="1">
        <v>0</v>
      </c>
      <c r="D478" s="1" t="s">
        <v>8</v>
      </c>
      <c r="E478" s="1">
        <v>3</v>
      </c>
      <c r="F478" s="21" t="s">
        <v>10</v>
      </c>
    </row>
    <row r="479" spans="1:6" x14ac:dyDescent="0.25">
      <c r="A479" s="10">
        <v>478</v>
      </c>
      <c r="B479" s="1">
        <v>50</v>
      </c>
      <c r="C479" s="1">
        <v>0</v>
      </c>
      <c r="D479" s="1" t="s">
        <v>8</v>
      </c>
      <c r="E479" s="1">
        <v>3</v>
      </c>
      <c r="F479" s="21" t="s">
        <v>10</v>
      </c>
    </row>
    <row r="480" spans="1:6" x14ac:dyDescent="0.25">
      <c r="A480" s="10">
        <v>479</v>
      </c>
      <c r="B480" s="1">
        <v>50</v>
      </c>
      <c r="C480" s="1">
        <v>1</v>
      </c>
      <c r="D480" s="1" t="s">
        <v>6</v>
      </c>
      <c r="E480" s="1">
        <v>2</v>
      </c>
      <c r="F480" s="21" t="s">
        <v>7</v>
      </c>
    </row>
    <row r="481" spans="1:6" x14ac:dyDescent="0.25">
      <c r="A481" s="10">
        <v>480</v>
      </c>
      <c r="B481" s="1">
        <v>35</v>
      </c>
      <c r="C481" s="1">
        <v>0</v>
      </c>
      <c r="D481" s="1" t="s">
        <v>8</v>
      </c>
      <c r="E481" s="1">
        <v>2</v>
      </c>
      <c r="F481" s="21" t="s">
        <v>7</v>
      </c>
    </row>
    <row r="482" spans="1:6" x14ac:dyDescent="0.25">
      <c r="A482" s="10">
        <v>481</v>
      </c>
      <c r="B482" s="1">
        <v>39</v>
      </c>
      <c r="C482" s="1">
        <v>0</v>
      </c>
      <c r="D482" s="1" t="s">
        <v>8</v>
      </c>
      <c r="E482" s="1">
        <v>2</v>
      </c>
      <c r="F482" s="21" t="s">
        <v>7</v>
      </c>
    </row>
    <row r="483" spans="1:6" x14ac:dyDescent="0.25">
      <c r="A483" s="10">
        <v>482</v>
      </c>
      <c r="B483" s="1">
        <v>49</v>
      </c>
      <c r="C483" s="1">
        <v>1</v>
      </c>
      <c r="D483" s="1" t="s">
        <v>6</v>
      </c>
      <c r="E483" s="1">
        <v>2</v>
      </c>
      <c r="F483" s="21" t="s">
        <v>7</v>
      </c>
    </row>
    <row r="484" spans="1:6" x14ac:dyDescent="0.25">
      <c r="A484" s="10">
        <v>483</v>
      </c>
      <c r="B484" s="1">
        <v>45</v>
      </c>
      <c r="C484" s="1">
        <v>1</v>
      </c>
      <c r="D484" s="1" t="s">
        <v>6</v>
      </c>
      <c r="E484" s="1">
        <v>1</v>
      </c>
      <c r="F484" s="21" t="s">
        <v>9</v>
      </c>
    </row>
    <row r="485" spans="1:6" x14ac:dyDescent="0.25">
      <c r="A485" s="10">
        <v>484</v>
      </c>
      <c r="B485" s="1">
        <v>42</v>
      </c>
      <c r="C485" s="1">
        <v>1</v>
      </c>
      <c r="D485" s="1" t="s">
        <v>6</v>
      </c>
      <c r="E485" s="1">
        <v>3</v>
      </c>
      <c r="F485" s="21" t="s">
        <v>10</v>
      </c>
    </row>
    <row r="486" spans="1:6" x14ac:dyDescent="0.25">
      <c r="A486" s="10">
        <v>485</v>
      </c>
      <c r="B486" s="1">
        <v>49</v>
      </c>
      <c r="C486" s="1">
        <v>0</v>
      </c>
      <c r="D486" s="1" t="s">
        <v>8</v>
      </c>
      <c r="E486" s="1">
        <v>1</v>
      </c>
      <c r="F486" s="21" t="s">
        <v>9</v>
      </c>
    </row>
    <row r="487" spans="1:6" x14ac:dyDescent="0.25">
      <c r="A487" s="10">
        <v>486</v>
      </c>
      <c r="B487" s="1">
        <v>35</v>
      </c>
      <c r="C487" s="1">
        <v>1</v>
      </c>
      <c r="D487" s="1" t="s">
        <v>6</v>
      </c>
      <c r="E487" s="1">
        <v>3</v>
      </c>
      <c r="F487" s="21" t="s">
        <v>10</v>
      </c>
    </row>
    <row r="488" spans="1:6" x14ac:dyDescent="0.25">
      <c r="A488" s="10">
        <v>487</v>
      </c>
      <c r="B488" s="1">
        <v>50</v>
      </c>
      <c r="C488" s="1">
        <v>1</v>
      </c>
      <c r="D488" s="1" t="s">
        <v>6</v>
      </c>
      <c r="E488" s="1">
        <v>3</v>
      </c>
      <c r="F488" s="21" t="s">
        <v>10</v>
      </c>
    </row>
    <row r="489" spans="1:6" x14ac:dyDescent="0.25">
      <c r="A489" s="10">
        <v>488</v>
      </c>
      <c r="B489" s="1">
        <v>42</v>
      </c>
      <c r="C489" s="1">
        <v>0</v>
      </c>
      <c r="D489" s="1" t="s">
        <v>8</v>
      </c>
      <c r="E489" s="1">
        <v>1</v>
      </c>
      <c r="F489" s="21" t="s">
        <v>9</v>
      </c>
    </row>
    <row r="490" spans="1:6" x14ac:dyDescent="0.25">
      <c r="A490" s="10">
        <v>489</v>
      </c>
      <c r="B490" s="1">
        <v>38</v>
      </c>
      <c r="C490" s="1">
        <v>1</v>
      </c>
      <c r="D490" s="1" t="s">
        <v>6</v>
      </c>
      <c r="E490" s="1">
        <v>2</v>
      </c>
      <c r="F490" s="21" t="s">
        <v>7</v>
      </c>
    </row>
    <row r="491" spans="1:6" x14ac:dyDescent="0.25">
      <c r="A491" s="10">
        <v>490</v>
      </c>
      <c r="B491" s="1">
        <v>38</v>
      </c>
      <c r="C491" s="1">
        <v>1</v>
      </c>
      <c r="D491" s="1" t="s">
        <v>6</v>
      </c>
      <c r="E491" s="1">
        <v>1</v>
      </c>
      <c r="F491" s="21" t="s">
        <v>9</v>
      </c>
    </row>
    <row r="492" spans="1:6" x14ac:dyDescent="0.25">
      <c r="A492" s="10">
        <v>491</v>
      </c>
      <c r="B492" s="1">
        <v>44</v>
      </c>
      <c r="C492" s="1">
        <v>1</v>
      </c>
      <c r="D492" s="1" t="s">
        <v>6</v>
      </c>
      <c r="E492" s="1">
        <v>1</v>
      </c>
      <c r="F492" s="21" t="s">
        <v>9</v>
      </c>
    </row>
    <row r="493" spans="1:6" x14ac:dyDescent="0.25">
      <c r="A493" s="10">
        <v>492</v>
      </c>
      <c r="B493" s="1">
        <v>36</v>
      </c>
      <c r="C493" s="1">
        <v>0</v>
      </c>
      <c r="D493" s="1" t="s">
        <v>8</v>
      </c>
      <c r="E493" s="1">
        <v>1</v>
      </c>
      <c r="F493" s="21" t="s">
        <v>9</v>
      </c>
    </row>
    <row r="494" spans="1:6" x14ac:dyDescent="0.25">
      <c r="A494" s="10">
        <v>493</v>
      </c>
      <c r="B494" s="1">
        <v>50</v>
      </c>
      <c r="C494" s="1">
        <v>0</v>
      </c>
      <c r="D494" s="1" t="s">
        <v>8</v>
      </c>
      <c r="E494" s="1">
        <v>2</v>
      </c>
      <c r="F494" s="21" t="s">
        <v>7</v>
      </c>
    </row>
    <row r="495" spans="1:6" x14ac:dyDescent="0.25">
      <c r="A495" s="10">
        <v>494</v>
      </c>
      <c r="B495" s="1">
        <v>37</v>
      </c>
      <c r="C495" s="1">
        <v>1</v>
      </c>
      <c r="D495" s="1" t="s">
        <v>6</v>
      </c>
      <c r="E495" s="1">
        <v>3</v>
      </c>
      <c r="F495" s="21" t="s">
        <v>10</v>
      </c>
    </row>
    <row r="496" spans="1:6" x14ac:dyDescent="0.25">
      <c r="A496" s="10">
        <v>495</v>
      </c>
      <c r="B496" s="1">
        <v>39</v>
      </c>
      <c r="C496" s="1">
        <v>0</v>
      </c>
      <c r="D496" s="1" t="s">
        <v>8</v>
      </c>
      <c r="E496" s="1">
        <v>2</v>
      </c>
      <c r="F496" s="21" t="s">
        <v>7</v>
      </c>
    </row>
    <row r="497" spans="1:6" x14ac:dyDescent="0.25">
      <c r="A497" s="10">
        <v>496</v>
      </c>
      <c r="B497" s="1">
        <v>32</v>
      </c>
      <c r="C497" s="1">
        <v>0</v>
      </c>
      <c r="D497" s="1" t="s">
        <v>8</v>
      </c>
      <c r="E497" s="1">
        <v>1</v>
      </c>
      <c r="F497" s="21" t="s">
        <v>9</v>
      </c>
    </row>
    <row r="498" spans="1:6" x14ac:dyDescent="0.25">
      <c r="A498" s="10">
        <v>497</v>
      </c>
      <c r="B498" s="1">
        <v>45</v>
      </c>
      <c r="C498" s="1">
        <v>0</v>
      </c>
      <c r="D498" s="1" t="s">
        <v>8</v>
      </c>
      <c r="E498" s="1">
        <v>2</v>
      </c>
      <c r="F498" s="21" t="s">
        <v>7</v>
      </c>
    </row>
    <row r="499" spans="1:6" x14ac:dyDescent="0.25">
      <c r="A499" s="10">
        <v>498</v>
      </c>
      <c r="B499" s="1">
        <v>30</v>
      </c>
      <c r="C499" s="1">
        <v>1</v>
      </c>
      <c r="D499" s="1" t="s">
        <v>6</v>
      </c>
      <c r="E499" s="1">
        <v>2</v>
      </c>
      <c r="F499" s="21" t="s">
        <v>7</v>
      </c>
    </row>
    <row r="500" spans="1:6" x14ac:dyDescent="0.25">
      <c r="A500" s="10">
        <v>499</v>
      </c>
      <c r="B500" s="1">
        <v>40</v>
      </c>
      <c r="C500" s="1">
        <v>0</v>
      </c>
      <c r="D500" s="1" t="s">
        <v>8</v>
      </c>
      <c r="E500" s="1">
        <v>1</v>
      </c>
      <c r="F500" s="21" t="s">
        <v>9</v>
      </c>
    </row>
    <row r="501" spans="1:6" x14ac:dyDescent="0.25">
      <c r="A501" s="24">
        <v>500</v>
      </c>
      <c r="B501" s="25">
        <v>42</v>
      </c>
      <c r="C501" s="25">
        <v>0</v>
      </c>
      <c r="D501" s="25" t="s">
        <v>8</v>
      </c>
      <c r="E501" s="25">
        <v>1</v>
      </c>
      <c r="F501" s="26" t="s">
        <v>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21BA1-61AB-41BF-B842-D033D35CB709}">
  <sheetPr codeName="Feuil15"/>
  <dimension ref="A1:O51"/>
  <sheetViews>
    <sheetView workbookViewId="0">
      <selection activeCell="M10" sqref="M10"/>
    </sheetView>
  </sheetViews>
  <sheetFormatPr baseColWidth="10" defaultRowHeight="15" x14ac:dyDescent="0.25"/>
  <cols>
    <col min="6" max="6" width="18.5703125" customWidth="1"/>
    <col min="9" max="9" width="57.5703125" bestFit="1" customWidth="1"/>
    <col min="12" max="12" width="20.5703125" bestFit="1" customWidth="1"/>
  </cols>
  <sheetData>
    <row r="1" spans="1:15" s="3" customFormat="1" x14ac:dyDescent="0.25">
      <c r="A1" s="11" t="s">
        <v>1</v>
      </c>
      <c r="B1" s="22" t="s">
        <v>0</v>
      </c>
      <c r="C1" s="22" t="s">
        <v>2</v>
      </c>
      <c r="D1" s="22" t="s">
        <v>4</v>
      </c>
      <c r="E1" s="22" t="s">
        <v>3</v>
      </c>
      <c r="F1" s="23" t="s">
        <v>5</v>
      </c>
      <c r="J1" s="27"/>
      <c r="O1" s="3" t="s">
        <v>28</v>
      </c>
    </row>
    <row r="2" spans="1:15" x14ac:dyDescent="0.25">
      <c r="A2" s="10">
        <v>403</v>
      </c>
      <c r="B2" s="1">
        <v>34</v>
      </c>
      <c r="C2" s="1">
        <v>1</v>
      </c>
      <c r="D2" s="1" t="s">
        <v>6</v>
      </c>
      <c r="E2" s="1">
        <v>1</v>
      </c>
      <c r="F2" s="21" t="s">
        <v>9</v>
      </c>
      <c r="O2">
        <f>B2^2</f>
        <v>1156</v>
      </c>
    </row>
    <row r="3" spans="1:15" x14ac:dyDescent="0.25">
      <c r="A3" s="10">
        <v>352</v>
      </c>
      <c r="B3" s="1">
        <v>33</v>
      </c>
      <c r="C3" s="1">
        <v>1</v>
      </c>
      <c r="D3" s="1" t="s">
        <v>6</v>
      </c>
      <c r="E3" s="1">
        <v>3</v>
      </c>
      <c r="F3" s="21" t="s">
        <v>10</v>
      </c>
      <c r="O3">
        <f t="shared" ref="O3:O51" si="0">B3^2</f>
        <v>1089</v>
      </c>
    </row>
    <row r="4" spans="1:15" x14ac:dyDescent="0.25">
      <c r="A4" s="10">
        <v>363</v>
      </c>
      <c r="B4" s="1">
        <v>37</v>
      </c>
      <c r="C4" s="1">
        <v>1</v>
      </c>
      <c r="D4" s="1" t="s">
        <v>6</v>
      </c>
      <c r="E4" s="1">
        <v>1</v>
      </c>
      <c r="F4" s="21" t="s">
        <v>9</v>
      </c>
      <c r="I4" s="3" t="s">
        <v>22</v>
      </c>
      <c r="L4" s="3" t="s">
        <v>25</v>
      </c>
      <c r="O4">
        <f t="shared" si="0"/>
        <v>1369</v>
      </c>
    </row>
    <row r="5" spans="1:15" x14ac:dyDescent="0.25">
      <c r="A5" s="10">
        <v>187</v>
      </c>
      <c r="B5" s="1">
        <v>32</v>
      </c>
      <c r="C5" s="1">
        <v>1</v>
      </c>
      <c r="D5" s="1" t="s">
        <v>6</v>
      </c>
      <c r="E5" s="1">
        <v>1</v>
      </c>
      <c r="F5" s="21" t="s">
        <v>9</v>
      </c>
      <c r="I5" t="s">
        <v>23</v>
      </c>
      <c r="L5" t="s">
        <v>21</v>
      </c>
      <c r="M5">
        <f>SUM(B2:B51)</f>
        <v>2005</v>
      </c>
      <c r="O5">
        <f t="shared" si="0"/>
        <v>1024</v>
      </c>
    </row>
    <row r="6" spans="1:15" x14ac:dyDescent="0.25">
      <c r="A6" s="10">
        <v>472</v>
      </c>
      <c r="B6" s="1">
        <v>42</v>
      </c>
      <c r="C6" s="1">
        <v>1</v>
      </c>
      <c r="D6" s="1" t="s">
        <v>6</v>
      </c>
      <c r="E6" s="1">
        <v>1</v>
      </c>
      <c r="F6" s="21" t="s">
        <v>9</v>
      </c>
      <c r="I6" t="s">
        <v>24</v>
      </c>
      <c r="L6" t="s">
        <v>27</v>
      </c>
      <c r="M6">
        <f>SUM(O2:O51)</f>
        <v>82163</v>
      </c>
      <c r="O6">
        <f t="shared" si="0"/>
        <v>1764</v>
      </c>
    </row>
    <row r="7" spans="1:15" x14ac:dyDescent="0.25">
      <c r="A7" s="10">
        <v>86</v>
      </c>
      <c r="B7" s="1">
        <v>50</v>
      </c>
      <c r="C7" s="1">
        <v>1</v>
      </c>
      <c r="D7" s="1" t="s">
        <v>6</v>
      </c>
      <c r="E7" s="1">
        <v>2</v>
      </c>
      <c r="F7" s="21" t="s">
        <v>7</v>
      </c>
      <c r="I7" t="s">
        <v>26</v>
      </c>
      <c r="L7" t="s">
        <v>31</v>
      </c>
      <c r="M7">
        <f>(1/50)*M5</f>
        <v>40.1</v>
      </c>
      <c r="O7">
        <f t="shared" si="0"/>
        <v>2500</v>
      </c>
    </row>
    <row r="8" spans="1:15" x14ac:dyDescent="0.25">
      <c r="A8" s="10">
        <v>235</v>
      </c>
      <c r="B8" s="1">
        <v>50</v>
      </c>
      <c r="C8" s="1">
        <v>0</v>
      </c>
      <c r="D8" s="1" t="s">
        <v>8</v>
      </c>
      <c r="E8" s="1">
        <v>3</v>
      </c>
      <c r="F8" s="21" t="s">
        <v>10</v>
      </c>
      <c r="I8" t="s">
        <v>33</v>
      </c>
      <c r="O8">
        <f t="shared" si="0"/>
        <v>2500</v>
      </c>
    </row>
    <row r="9" spans="1:15" x14ac:dyDescent="0.25">
      <c r="A9" s="10">
        <v>182</v>
      </c>
      <c r="B9" s="1">
        <v>40</v>
      </c>
      <c r="C9" s="1">
        <v>0</v>
      </c>
      <c r="D9" s="1" t="s">
        <v>8</v>
      </c>
      <c r="E9" s="1">
        <v>2</v>
      </c>
      <c r="F9" s="21" t="s">
        <v>7</v>
      </c>
      <c r="I9" t="s">
        <v>30</v>
      </c>
      <c r="O9">
        <f t="shared" si="0"/>
        <v>1600</v>
      </c>
    </row>
    <row r="10" spans="1:15" x14ac:dyDescent="0.25">
      <c r="A10" s="10">
        <v>11</v>
      </c>
      <c r="B10" s="1">
        <v>33</v>
      </c>
      <c r="C10" s="1">
        <v>1</v>
      </c>
      <c r="D10" s="1" t="s">
        <v>6</v>
      </c>
      <c r="E10" s="1">
        <v>3</v>
      </c>
      <c r="F10" s="21" t="s">
        <v>10</v>
      </c>
      <c r="I10" t="s">
        <v>32</v>
      </c>
      <c r="K10" s="29"/>
      <c r="O10">
        <f t="shared" si="0"/>
        <v>1089</v>
      </c>
    </row>
    <row r="11" spans="1:15" x14ac:dyDescent="0.25">
      <c r="A11" s="10">
        <v>389</v>
      </c>
      <c r="B11" s="1">
        <v>31</v>
      </c>
      <c r="C11" s="1">
        <v>0</v>
      </c>
      <c r="D11" s="1" t="s">
        <v>8</v>
      </c>
      <c r="E11" s="1">
        <v>2</v>
      </c>
      <c r="F11" s="21" t="s">
        <v>7</v>
      </c>
      <c r="O11">
        <f t="shared" si="0"/>
        <v>961</v>
      </c>
    </row>
    <row r="12" spans="1:15" x14ac:dyDescent="0.25">
      <c r="A12" s="10">
        <v>231</v>
      </c>
      <c r="B12" s="1">
        <v>46</v>
      </c>
      <c r="C12" s="1">
        <v>1</v>
      </c>
      <c r="D12" s="1" t="s">
        <v>6</v>
      </c>
      <c r="E12" s="1">
        <v>2</v>
      </c>
      <c r="F12" s="21" t="s">
        <v>7</v>
      </c>
      <c r="I12" t="s">
        <v>29</v>
      </c>
      <c r="O12">
        <f t="shared" si="0"/>
        <v>2116</v>
      </c>
    </row>
    <row r="13" spans="1:15" x14ac:dyDescent="0.25">
      <c r="A13" s="10">
        <v>323</v>
      </c>
      <c r="B13" s="1">
        <v>34</v>
      </c>
      <c r="C13" s="1">
        <v>1</v>
      </c>
      <c r="D13" s="1" t="s">
        <v>6</v>
      </c>
      <c r="E13" s="1">
        <v>3</v>
      </c>
      <c r="F13" s="21" t="s">
        <v>10</v>
      </c>
      <c r="I13" t="s">
        <v>34</v>
      </c>
      <c r="O13">
        <f t="shared" si="0"/>
        <v>1156</v>
      </c>
    </row>
    <row r="14" spans="1:15" x14ac:dyDescent="0.25">
      <c r="A14" s="10">
        <v>133</v>
      </c>
      <c r="B14" s="1">
        <v>49</v>
      </c>
      <c r="C14" s="1">
        <v>0</v>
      </c>
      <c r="D14" s="1" t="s">
        <v>8</v>
      </c>
      <c r="E14" s="1">
        <v>2</v>
      </c>
      <c r="F14" s="21" t="s">
        <v>7</v>
      </c>
      <c r="O14">
        <f t="shared" si="0"/>
        <v>2401</v>
      </c>
    </row>
    <row r="15" spans="1:15" x14ac:dyDescent="0.25">
      <c r="A15" s="10">
        <v>256</v>
      </c>
      <c r="B15" s="1">
        <v>37</v>
      </c>
      <c r="C15" s="1">
        <v>0</v>
      </c>
      <c r="D15" s="1" t="s">
        <v>8</v>
      </c>
      <c r="E15" s="1">
        <v>1</v>
      </c>
      <c r="F15" s="21" t="s">
        <v>9</v>
      </c>
      <c r="O15">
        <f t="shared" si="0"/>
        <v>1369</v>
      </c>
    </row>
    <row r="16" spans="1:15" x14ac:dyDescent="0.25">
      <c r="A16" s="10">
        <v>90</v>
      </c>
      <c r="B16" s="1">
        <v>38</v>
      </c>
      <c r="C16" s="1">
        <v>0</v>
      </c>
      <c r="D16" s="1" t="s">
        <v>8</v>
      </c>
      <c r="E16" s="1">
        <v>1</v>
      </c>
      <c r="F16" s="21" t="s">
        <v>9</v>
      </c>
      <c r="O16">
        <f t="shared" si="0"/>
        <v>1444</v>
      </c>
    </row>
    <row r="17" spans="1:15" x14ac:dyDescent="0.25">
      <c r="A17" s="10">
        <v>271</v>
      </c>
      <c r="B17" s="1">
        <v>49</v>
      </c>
      <c r="C17" s="1">
        <v>1</v>
      </c>
      <c r="D17" s="1" t="s">
        <v>6</v>
      </c>
      <c r="E17" s="1">
        <v>3</v>
      </c>
      <c r="F17" s="21" t="s">
        <v>10</v>
      </c>
      <c r="O17">
        <f t="shared" si="0"/>
        <v>2401</v>
      </c>
    </row>
    <row r="18" spans="1:15" x14ac:dyDescent="0.25">
      <c r="A18" s="10">
        <v>452</v>
      </c>
      <c r="B18" s="1">
        <v>43</v>
      </c>
      <c r="C18" s="1">
        <v>1</v>
      </c>
      <c r="D18" s="1" t="s">
        <v>6</v>
      </c>
      <c r="E18" s="1">
        <v>3</v>
      </c>
      <c r="F18" s="21" t="s">
        <v>10</v>
      </c>
      <c r="O18">
        <f t="shared" si="0"/>
        <v>1849</v>
      </c>
    </row>
    <row r="19" spans="1:15" x14ac:dyDescent="0.25">
      <c r="A19" s="10">
        <v>55</v>
      </c>
      <c r="B19" s="1">
        <v>35</v>
      </c>
      <c r="C19" s="1">
        <v>0</v>
      </c>
      <c r="D19" s="1" t="s">
        <v>8</v>
      </c>
      <c r="E19" s="1">
        <v>2</v>
      </c>
      <c r="F19" s="21" t="s">
        <v>7</v>
      </c>
      <c r="O19">
        <f t="shared" si="0"/>
        <v>1225</v>
      </c>
    </row>
    <row r="20" spans="1:15" x14ac:dyDescent="0.25">
      <c r="A20" s="10">
        <v>406</v>
      </c>
      <c r="B20" s="1">
        <v>48</v>
      </c>
      <c r="C20" s="1">
        <v>0</v>
      </c>
      <c r="D20" s="1" t="s">
        <v>8</v>
      </c>
      <c r="E20" s="1">
        <v>3</v>
      </c>
      <c r="F20" s="21" t="s">
        <v>10</v>
      </c>
      <c r="O20">
        <f t="shared" si="0"/>
        <v>2304</v>
      </c>
    </row>
    <row r="21" spans="1:15" x14ac:dyDescent="0.25">
      <c r="A21" s="10">
        <v>233</v>
      </c>
      <c r="B21" s="1">
        <v>42</v>
      </c>
      <c r="C21" s="1">
        <v>1</v>
      </c>
      <c r="D21" s="1" t="s">
        <v>6</v>
      </c>
      <c r="E21" s="1">
        <v>3</v>
      </c>
      <c r="F21" s="21" t="s">
        <v>10</v>
      </c>
      <c r="O21">
        <f t="shared" si="0"/>
        <v>1764</v>
      </c>
    </row>
    <row r="22" spans="1:15" x14ac:dyDescent="0.25">
      <c r="A22" s="10">
        <v>145</v>
      </c>
      <c r="B22" s="1">
        <v>37</v>
      </c>
      <c r="C22" s="1">
        <v>0</v>
      </c>
      <c r="D22" s="1" t="s">
        <v>8</v>
      </c>
      <c r="E22" s="1">
        <v>3</v>
      </c>
      <c r="F22" s="21" t="s">
        <v>10</v>
      </c>
      <c r="O22">
        <f t="shared" si="0"/>
        <v>1369</v>
      </c>
    </row>
    <row r="23" spans="1:15" x14ac:dyDescent="0.25">
      <c r="A23" s="10">
        <v>407</v>
      </c>
      <c r="B23" s="1">
        <v>33</v>
      </c>
      <c r="C23" s="1">
        <v>1</v>
      </c>
      <c r="D23" s="1" t="s">
        <v>6</v>
      </c>
      <c r="E23" s="1">
        <v>1</v>
      </c>
      <c r="F23" s="21" t="s">
        <v>9</v>
      </c>
      <c r="O23">
        <f t="shared" si="0"/>
        <v>1089</v>
      </c>
    </row>
    <row r="24" spans="1:15" x14ac:dyDescent="0.25">
      <c r="A24" s="10">
        <v>484</v>
      </c>
      <c r="B24" s="1">
        <v>42</v>
      </c>
      <c r="C24" s="1">
        <v>1</v>
      </c>
      <c r="D24" s="1" t="s">
        <v>6</v>
      </c>
      <c r="E24" s="1">
        <v>3</v>
      </c>
      <c r="F24" s="21" t="s">
        <v>10</v>
      </c>
      <c r="O24">
        <f t="shared" si="0"/>
        <v>1764</v>
      </c>
    </row>
    <row r="25" spans="1:15" x14ac:dyDescent="0.25">
      <c r="A25" s="10">
        <v>227</v>
      </c>
      <c r="B25" s="1">
        <v>39</v>
      </c>
      <c r="C25" s="1">
        <v>0</v>
      </c>
      <c r="D25" s="1" t="s">
        <v>8</v>
      </c>
      <c r="E25" s="1">
        <v>1</v>
      </c>
      <c r="F25" s="21" t="s">
        <v>9</v>
      </c>
      <c r="O25">
        <f t="shared" si="0"/>
        <v>1521</v>
      </c>
    </row>
    <row r="26" spans="1:15" x14ac:dyDescent="0.25">
      <c r="A26" s="10">
        <v>221</v>
      </c>
      <c r="B26" s="1">
        <v>35</v>
      </c>
      <c r="C26" s="1">
        <v>0</v>
      </c>
      <c r="D26" s="1" t="s">
        <v>8</v>
      </c>
      <c r="E26" s="1">
        <v>1</v>
      </c>
      <c r="F26" s="21" t="s">
        <v>9</v>
      </c>
      <c r="O26">
        <f t="shared" si="0"/>
        <v>1225</v>
      </c>
    </row>
    <row r="27" spans="1:15" x14ac:dyDescent="0.25">
      <c r="A27" s="10">
        <v>200</v>
      </c>
      <c r="B27" s="1">
        <v>43</v>
      </c>
      <c r="C27" s="1">
        <v>1</v>
      </c>
      <c r="D27" s="1" t="s">
        <v>6</v>
      </c>
      <c r="E27" s="1">
        <v>1</v>
      </c>
      <c r="F27" s="21" t="s">
        <v>9</v>
      </c>
      <c r="O27">
        <f t="shared" si="0"/>
        <v>1849</v>
      </c>
    </row>
    <row r="28" spans="1:15" x14ac:dyDescent="0.25">
      <c r="A28" s="10">
        <v>174</v>
      </c>
      <c r="B28" s="1">
        <v>50</v>
      </c>
      <c r="C28" s="1">
        <v>0</v>
      </c>
      <c r="D28" s="1" t="s">
        <v>8</v>
      </c>
      <c r="E28" s="1">
        <v>2</v>
      </c>
      <c r="F28" s="21" t="s">
        <v>7</v>
      </c>
      <c r="O28">
        <f t="shared" si="0"/>
        <v>2500</v>
      </c>
    </row>
    <row r="29" spans="1:15" x14ac:dyDescent="0.25">
      <c r="A29" s="10">
        <v>211</v>
      </c>
      <c r="B29" s="1">
        <v>31</v>
      </c>
      <c r="C29" s="1">
        <v>1</v>
      </c>
      <c r="D29" s="1" t="s">
        <v>6</v>
      </c>
      <c r="E29" s="1">
        <v>2</v>
      </c>
      <c r="F29" s="21" t="s">
        <v>7</v>
      </c>
      <c r="O29">
        <f t="shared" si="0"/>
        <v>961</v>
      </c>
    </row>
    <row r="30" spans="1:15" x14ac:dyDescent="0.25">
      <c r="A30" s="10">
        <v>142</v>
      </c>
      <c r="B30" s="1">
        <v>36</v>
      </c>
      <c r="C30" s="1">
        <v>1</v>
      </c>
      <c r="D30" s="1" t="s">
        <v>6</v>
      </c>
      <c r="E30" s="1">
        <v>1</v>
      </c>
      <c r="F30" s="21" t="s">
        <v>9</v>
      </c>
      <c r="O30">
        <f t="shared" si="0"/>
        <v>1296</v>
      </c>
    </row>
    <row r="31" spans="1:15" ht="15.75" x14ac:dyDescent="0.25">
      <c r="A31" s="10">
        <v>8</v>
      </c>
      <c r="B31" s="1">
        <v>42</v>
      </c>
      <c r="C31" s="1">
        <v>0</v>
      </c>
      <c r="D31" s="1" t="s">
        <v>8</v>
      </c>
      <c r="E31" s="1">
        <v>3</v>
      </c>
      <c r="F31" s="21" t="s">
        <v>10</v>
      </c>
      <c r="J31" s="4"/>
      <c r="O31">
        <f t="shared" si="0"/>
        <v>1764</v>
      </c>
    </row>
    <row r="32" spans="1:15" x14ac:dyDescent="0.25">
      <c r="A32" s="10">
        <v>238</v>
      </c>
      <c r="B32" s="1">
        <v>41</v>
      </c>
      <c r="C32" s="1">
        <v>0</v>
      </c>
      <c r="D32" s="1" t="s">
        <v>8</v>
      </c>
      <c r="E32" s="1">
        <v>3</v>
      </c>
      <c r="F32" s="21" t="s">
        <v>10</v>
      </c>
      <c r="O32">
        <f t="shared" si="0"/>
        <v>1681</v>
      </c>
    </row>
    <row r="33" spans="1:15" x14ac:dyDescent="0.25">
      <c r="A33" s="10">
        <v>69</v>
      </c>
      <c r="B33" s="1">
        <v>34</v>
      </c>
      <c r="C33" s="1">
        <v>0</v>
      </c>
      <c r="D33" s="1" t="s">
        <v>8</v>
      </c>
      <c r="E33" s="1">
        <v>2</v>
      </c>
      <c r="F33" s="21" t="s">
        <v>7</v>
      </c>
      <c r="O33">
        <f t="shared" si="0"/>
        <v>1156</v>
      </c>
    </row>
    <row r="34" spans="1:15" x14ac:dyDescent="0.25">
      <c r="A34" s="10">
        <v>380</v>
      </c>
      <c r="B34" s="1">
        <v>33</v>
      </c>
      <c r="C34" s="1">
        <v>0</v>
      </c>
      <c r="D34" s="1" t="s">
        <v>8</v>
      </c>
      <c r="E34" s="1">
        <v>2</v>
      </c>
      <c r="F34" s="21" t="s">
        <v>7</v>
      </c>
      <c r="O34">
        <f t="shared" si="0"/>
        <v>1089</v>
      </c>
    </row>
    <row r="35" spans="1:15" x14ac:dyDescent="0.25">
      <c r="A35" s="10">
        <v>123</v>
      </c>
      <c r="B35" s="1">
        <v>30</v>
      </c>
      <c r="C35" s="1">
        <v>1</v>
      </c>
      <c r="D35" s="1" t="s">
        <v>6</v>
      </c>
      <c r="E35" s="1">
        <v>1</v>
      </c>
      <c r="F35" s="21" t="s">
        <v>9</v>
      </c>
      <c r="O35">
        <f t="shared" si="0"/>
        <v>900</v>
      </c>
    </row>
    <row r="36" spans="1:15" x14ac:dyDescent="0.25">
      <c r="A36" s="24">
        <v>500</v>
      </c>
      <c r="B36" s="25">
        <v>42</v>
      </c>
      <c r="C36" s="25">
        <v>0</v>
      </c>
      <c r="D36" s="25" t="s">
        <v>8</v>
      </c>
      <c r="E36" s="25">
        <v>1</v>
      </c>
      <c r="F36" s="26" t="s">
        <v>9</v>
      </c>
      <c r="O36">
        <f t="shared" si="0"/>
        <v>1764</v>
      </c>
    </row>
    <row r="37" spans="1:15" x14ac:dyDescent="0.25">
      <c r="A37" s="10">
        <v>354</v>
      </c>
      <c r="B37" s="1">
        <v>44</v>
      </c>
      <c r="C37" s="1">
        <v>1</v>
      </c>
      <c r="D37" s="1" t="s">
        <v>6</v>
      </c>
      <c r="E37" s="1">
        <v>2</v>
      </c>
      <c r="F37" s="21" t="s">
        <v>7</v>
      </c>
      <c r="O37">
        <f t="shared" si="0"/>
        <v>1936</v>
      </c>
    </row>
    <row r="38" spans="1:15" ht="15.75" x14ac:dyDescent="0.25">
      <c r="A38" s="10">
        <v>12</v>
      </c>
      <c r="B38" s="1">
        <v>50</v>
      </c>
      <c r="C38" s="1">
        <v>1</v>
      </c>
      <c r="D38" s="1" t="s">
        <v>6</v>
      </c>
      <c r="E38" s="1">
        <v>2</v>
      </c>
      <c r="F38" s="21" t="s">
        <v>7</v>
      </c>
      <c r="J38" s="28"/>
      <c r="K38" s="29"/>
      <c r="O38">
        <f t="shared" si="0"/>
        <v>2500</v>
      </c>
    </row>
    <row r="39" spans="1:15" x14ac:dyDescent="0.25">
      <c r="A39" s="10">
        <v>61</v>
      </c>
      <c r="B39" s="1">
        <v>43</v>
      </c>
      <c r="C39" s="1">
        <v>1</v>
      </c>
      <c r="D39" s="1" t="s">
        <v>6</v>
      </c>
      <c r="E39" s="1">
        <v>1</v>
      </c>
      <c r="F39" s="21" t="s">
        <v>9</v>
      </c>
      <c r="O39">
        <f t="shared" si="0"/>
        <v>1849</v>
      </c>
    </row>
    <row r="40" spans="1:15" ht="15.75" x14ac:dyDescent="0.25">
      <c r="A40" s="10">
        <v>17</v>
      </c>
      <c r="B40" s="1">
        <v>48</v>
      </c>
      <c r="C40" s="1">
        <v>1</v>
      </c>
      <c r="D40" s="1" t="s">
        <v>6</v>
      </c>
      <c r="E40" s="1">
        <v>1</v>
      </c>
      <c r="F40" s="21" t="s">
        <v>9</v>
      </c>
      <c r="J40" s="28"/>
      <c r="K40" s="29"/>
      <c r="O40">
        <f t="shared" si="0"/>
        <v>2304</v>
      </c>
    </row>
    <row r="41" spans="1:15" x14ac:dyDescent="0.25">
      <c r="A41" s="10">
        <v>164</v>
      </c>
      <c r="B41" s="1">
        <v>48</v>
      </c>
      <c r="C41" s="1">
        <v>0</v>
      </c>
      <c r="D41" s="1" t="s">
        <v>8</v>
      </c>
      <c r="E41" s="1">
        <v>2</v>
      </c>
      <c r="F41" s="21" t="s">
        <v>7</v>
      </c>
      <c r="O41">
        <f t="shared" si="0"/>
        <v>2304</v>
      </c>
    </row>
    <row r="42" spans="1:15" x14ac:dyDescent="0.25">
      <c r="A42" s="10">
        <v>163</v>
      </c>
      <c r="B42" s="1">
        <v>36</v>
      </c>
      <c r="C42" s="1">
        <v>0</v>
      </c>
      <c r="D42" s="1" t="s">
        <v>8</v>
      </c>
      <c r="E42" s="1">
        <v>1</v>
      </c>
      <c r="F42" s="21" t="s">
        <v>9</v>
      </c>
      <c r="O42">
        <f t="shared" si="0"/>
        <v>1296</v>
      </c>
    </row>
    <row r="43" spans="1:15" x14ac:dyDescent="0.25">
      <c r="A43" s="10">
        <v>115</v>
      </c>
      <c r="B43" s="1">
        <v>42</v>
      </c>
      <c r="C43" s="1">
        <v>0</v>
      </c>
      <c r="D43" s="1" t="s">
        <v>8</v>
      </c>
      <c r="E43" s="1">
        <v>3</v>
      </c>
      <c r="F43" s="21" t="s">
        <v>10</v>
      </c>
      <c r="O43">
        <f t="shared" si="0"/>
        <v>1764</v>
      </c>
    </row>
    <row r="44" spans="1:15" x14ac:dyDescent="0.25">
      <c r="A44" s="10">
        <v>347</v>
      </c>
      <c r="B44" s="1">
        <v>33</v>
      </c>
      <c r="C44" s="1">
        <v>1</v>
      </c>
      <c r="D44" s="1" t="s">
        <v>6</v>
      </c>
      <c r="E44" s="1">
        <v>2</v>
      </c>
      <c r="F44" s="21" t="s">
        <v>7</v>
      </c>
      <c r="O44">
        <f t="shared" si="0"/>
        <v>1089</v>
      </c>
    </row>
    <row r="45" spans="1:15" x14ac:dyDescent="0.25">
      <c r="A45" s="10">
        <v>34</v>
      </c>
      <c r="B45" s="1">
        <v>43</v>
      </c>
      <c r="C45" s="1">
        <v>1</v>
      </c>
      <c r="D45" s="1" t="s">
        <v>6</v>
      </c>
      <c r="E45" s="1">
        <v>1</v>
      </c>
      <c r="F45" s="21" t="s">
        <v>9</v>
      </c>
      <c r="O45">
        <f t="shared" si="0"/>
        <v>1849</v>
      </c>
    </row>
    <row r="46" spans="1:15" x14ac:dyDescent="0.25">
      <c r="A46" s="10">
        <v>161</v>
      </c>
      <c r="B46" s="1">
        <v>41</v>
      </c>
      <c r="C46" s="1">
        <v>0</v>
      </c>
      <c r="D46" s="1" t="s">
        <v>8</v>
      </c>
      <c r="E46" s="1">
        <v>3</v>
      </c>
      <c r="F46" s="21" t="s">
        <v>10</v>
      </c>
      <c r="O46">
        <f t="shared" si="0"/>
        <v>1681</v>
      </c>
    </row>
    <row r="47" spans="1:15" x14ac:dyDescent="0.25">
      <c r="A47" s="10">
        <v>71</v>
      </c>
      <c r="B47" s="1">
        <v>39</v>
      </c>
      <c r="C47" s="1">
        <v>0</v>
      </c>
      <c r="D47" s="1" t="s">
        <v>8</v>
      </c>
      <c r="E47" s="1">
        <v>3</v>
      </c>
      <c r="F47" s="21" t="s">
        <v>10</v>
      </c>
      <c r="O47">
        <f t="shared" si="0"/>
        <v>1521</v>
      </c>
    </row>
    <row r="48" spans="1:15" x14ac:dyDescent="0.25">
      <c r="A48" s="10">
        <v>282</v>
      </c>
      <c r="B48" s="1">
        <v>36</v>
      </c>
      <c r="C48" s="1">
        <v>0</v>
      </c>
      <c r="D48" s="1" t="s">
        <v>8</v>
      </c>
      <c r="E48" s="1">
        <v>2</v>
      </c>
      <c r="F48" s="21" t="s">
        <v>7</v>
      </c>
      <c r="O48">
        <f t="shared" si="0"/>
        <v>1296</v>
      </c>
    </row>
    <row r="49" spans="1:15" x14ac:dyDescent="0.25">
      <c r="A49" s="10">
        <v>337</v>
      </c>
      <c r="B49" s="1">
        <v>40</v>
      </c>
      <c r="C49" s="1">
        <v>0</v>
      </c>
      <c r="D49" s="1" t="s">
        <v>8</v>
      </c>
      <c r="E49" s="1">
        <v>3</v>
      </c>
      <c r="F49" s="21" t="s">
        <v>10</v>
      </c>
      <c r="O49">
        <f t="shared" si="0"/>
        <v>1600</v>
      </c>
    </row>
    <row r="50" spans="1:15" x14ac:dyDescent="0.25">
      <c r="A50" s="10">
        <v>391</v>
      </c>
      <c r="B50" s="1">
        <v>49</v>
      </c>
      <c r="C50" s="1">
        <v>0</v>
      </c>
      <c r="D50" s="1" t="s">
        <v>8</v>
      </c>
      <c r="E50" s="1">
        <v>1</v>
      </c>
      <c r="F50" s="21" t="s">
        <v>9</v>
      </c>
      <c r="O50">
        <f t="shared" si="0"/>
        <v>2401</v>
      </c>
    </row>
    <row r="51" spans="1:15" x14ac:dyDescent="0.25">
      <c r="A51" s="24">
        <v>451</v>
      </c>
      <c r="B51" s="25">
        <v>42</v>
      </c>
      <c r="C51" s="25">
        <v>1</v>
      </c>
      <c r="D51" s="25" t="s">
        <v>6</v>
      </c>
      <c r="E51" s="25">
        <v>3</v>
      </c>
      <c r="F51" s="26" t="s">
        <v>10</v>
      </c>
      <c r="O51">
        <f t="shared" si="0"/>
        <v>1764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37008-1E25-43D2-82A4-03FFA586C1D4}">
  <sheetPr codeName="Feuil7"/>
  <dimension ref="A1:O31"/>
  <sheetViews>
    <sheetView topLeftCell="E1" workbookViewId="0">
      <selection activeCell="M7" sqref="M7"/>
    </sheetView>
  </sheetViews>
  <sheetFormatPr baseColWidth="10" defaultRowHeight="15" x14ac:dyDescent="0.25"/>
  <cols>
    <col min="4" max="4" width="12.28515625" bestFit="1" customWidth="1"/>
    <col min="6" max="6" width="18.42578125" bestFit="1" customWidth="1"/>
    <col min="9" max="9" width="64.140625" bestFit="1" customWidth="1"/>
    <col min="12" max="12" width="21.28515625" bestFit="1" customWidth="1"/>
  </cols>
  <sheetData>
    <row r="1" spans="1:15" s="3" customFormat="1" x14ac:dyDescent="0.25">
      <c r="A1" s="11" t="s">
        <v>1</v>
      </c>
      <c r="B1" s="22" t="s">
        <v>0</v>
      </c>
      <c r="C1" s="22" t="s">
        <v>2</v>
      </c>
      <c r="D1" s="22" t="s">
        <v>4</v>
      </c>
      <c r="E1" s="22" t="s">
        <v>3</v>
      </c>
      <c r="F1" s="23" t="s">
        <v>5</v>
      </c>
      <c r="J1" s="27"/>
      <c r="O1" s="3" t="s">
        <v>28</v>
      </c>
    </row>
    <row r="2" spans="1:15" x14ac:dyDescent="0.25">
      <c r="A2" s="10">
        <v>400</v>
      </c>
      <c r="B2" s="1">
        <v>30</v>
      </c>
      <c r="C2" s="1">
        <v>0</v>
      </c>
      <c r="D2" s="1" t="s">
        <v>8</v>
      </c>
      <c r="E2" s="1">
        <v>2</v>
      </c>
      <c r="F2" s="21" t="s">
        <v>7</v>
      </c>
      <c r="O2">
        <f>B2^2</f>
        <v>900</v>
      </c>
    </row>
    <row r="3" spans="1:15" x14ac:dyDescent="0.25">
      <c r="A3" s="10">
        <v>242</v>
      </c>
      <c r="B3" s="1">
        <v>42</v>
      </c>
      <c r="C3" s="1">
        <v>0</v>
      </c>
      <c r="D3" s="1" t="s">
        <v>8</v>
      </c>
      <c r="E3" s="1">
        <v>3</v>
      </c>
      <c r="F3" s="21" t="s">
        <v>10</v>
      </c>
      <c r="O3">
        <f t="shared" ref="O3:O31" si="0">B3^2</f>
        <v>1764</v>
      </c>
    </row>
    <row r="4" spans="1:15" x14ac:dyDescent="0.25">
      <c r="A4" s="10">
        <v>321</v>
      </c>
      <c r="B4" s="1">
        <v>38</v>
      </c>
      <c r="C4" s="1">
        <v>0</v>
      </c>
      <c r="D4" s="1" t="s">
        <v>8</v>
      </c>
      <c r="E4" s="1">
        <v>1</v>
      </c>
      <c r="F4" s="21" t="s">
        <v>9</v>
      </c>
      <c r="I4" s="3" t="s">
        <v>22</v>
      </c>
      <c r="L4" s="3" t="s">
        <v>25</v>
      </c>
      <c r="O4">
        <f t="shared" si="0"/>
        <v>1444</v>
      </c>
    </row>
    <row r="5" spans="1:15" x14ac:dyDescent="0.25">
      <c r="A5" s="10">
        <v>349</v>
      </c>
      <c r="B5" s="1">
        <v>31</v>
      </c>
      <c r="C5" s="1">
        <v>0</v>
      </c>
      <c r="D5" s="1" t="s">
        <v>8</v>
      </c>
      <c r="E5" s="1">
        <v>3</v>
      </c>
      <c r="F5" s="21" t="s">
        <v>10</v>
      </c>
      <c r="I5" t="s">
        <v>23</v>
      </c>
      <c r="L5" t="s">
        <v>21</v>
      </c>
      <c r="M5">
        <f>SUM(B2:B51)</f>
        <v>1119</v>
      </c>
      <c r="O5">
        <f t="shared" si="0"/>
        <v>961</v>
      </c>
    </row>
    <row r="6" spans="1:15" x14ac:dyDescent="0.25">
      <c r="A6" s="10">
        <v>127</v>
      </c>
      <c r="B6" s="1">
        <v>45</v>
      </c>
      <c r="C6" s="1">
        <v>0</v>
      </c>
      <c r="D6" s="1" t="s">
        <v>8</v>
      </c>
      <c r="E6" s="1">
        <v>2</v>
      </c>
      <c r="F6" s="21" t="s">
        <v>7</v>
      </c>
      <c r="I6" t="s">
        <v>24</v>
      </c>
      <c r="L6" t="s">
        <v>27</v>
      </c>
      <c r="M6">
        <f>SUM(O2:O51)</f>
        <v>42541</v>
      </c>
      <c r="O6">
        <f t="shared" si="0"/>
        <v>2025</v>
      </c>
    </row>
    <row r="7" spans="1:15" x14ac:dyDescent="0.25">
      <c r="A7" s="10">
        <v>280</v>
      </c>
      <c r="B7" s="1">
        <v>40</v>
      </c>
      <c r="C7" s="1">
        <v>0</v>
      </c>
      <c r="D7" s="1" t="s">
        <v>8</v>
      </c>
      <c r="E7" s="1">
        <v>1</v>
      </c>
      <c r="F7" s="21" t="s">
        <v>9</v>
      </c>
      <c r="I7" t="s">
        <v>35</v>
      </c>
      <c r="L7" t="s">
        <v>31</v>
      </c>
      <c r="M7">
        <f>(1/30)*M5</f>
        <v>37.299999999999997</v>
      </c>
      <c r="O7">
        <f t="shared" si="0"/>
        <v>1600</v>
      </c>
    </row>
    <row r="8" spans="1:15" x14ac:dyDescent="0.25">
      <c r="A8" s="10">
        <v>153</v>
      </c>
      <c r="B8" s="1">
        <v>38</v>
      </c>
      <c r="C8" s="1">
        <v>0</v>
      </c>
      <c r="D8" s="1" t="s">
        <v>8</v>
      </c>
      <c r="E8" s="1">
        <v>1</v>
      </c>
      <c r="F8" s="21" t="s">
        <v>9</v>
      </c>
      <c r="I8" t="s">
        <v>33</v>
      </c>
      <c r="O8">
        <f t="shared" si="0"/>
        <v>1444</v>
      </c>
    </row>
    <row r="9" spans="1:15" x14ac:dyDescent="0.25">
      <c r="A9" s="10">
        <v>416</v>
      </c>
      <c r="B9" s="1">
        <v>35</v>
      </c>
      <c r="C9" s="1">
        <v>0</v>
      </c>
      <c r="D9" s="1" t="s">
        <v>8</v>
      </c>
      <c r="E9" s="1">
        <v>1</v>
      </c>
      <c r="F9" s="21" t="s">
        <v>9</v>
      </c>
      <c r="I9" t="s">
        <v>30</v>
      </c>
      <c r="O9">
        <f t="shared" si="0"/>
        <v>1225</v>
      </c>
    </row>
    <row r="10" spans="1:15" x14ac:dyDescent="0.25">
      <c r="A10" s="10">
        <v>192</v>
      </c>
      <c r="B10" s="1">
        <v>40</v>
      </c>
      <c r="C10" s="1">
        <v>0</v>
      </c>
      <c r="D10" s="1" t="s">
        <v>8</v>
      </c>
      <c r="E10" s="1">
        <v>1</v>
      </c>
      <c r="F10" s="21" t="s">
        <v>9</v>
      </c>
      <c r="I10" t="s">
        <v>32</v>
      </c>
      <c r="K10" s="29"/>
      <c r="O10">
        <f t="shared" si="0"/>
        <v>1600</v>
      </c>
    </row>
    <row r="11" spans="1:15" x14ac:dyDescent="0.25">
      <c r="A11" s="10">
        <v>115</v>
      </c>
      <c r="B11" s="1">
        <v>42</v>
      </c>
      <c r="C11" s="1">
        <v>0</v>
      </c>
      <c r="D11" s="1" t="s">
        <v>8</v>
      </c>
      <c r="E11" s="1">
        <v>3</v>
      </c>
      <c r="F11" s="21" t="s">
        <v>10</v>
      </c>
      <c r="O11">
        <f t="shared" si="0"/>
        <v>1764</v>
      </c>
    </row>
    <row r="12" spans="1:15" x14ac:dyDescent="0.25">
      <c r="A12" s="10">
        <v>63</v>
      </c>
      <c r="B12" s="1">
        <v>33</v>
      </c>
      <c r="C12" s="1">
        <v>0</v>
      </c>
      <c r="D12" s="1" t="s">
        <v>8</v>
      </c>
      <c r="E12" s="1">
        <v>2</v>
      </c>
      <c r="F12" s="21" t="s">
        <v>7</v>
      </c>
      <c r="I12" t="s">
        <v>29</v>
      </c>
      <c r="O12">
        <f t="shared" si="0"/>
        <v>1089</v>
      </c>
    </row>
    <row r="13" spans="1:15" x14ac:dyDescent="0.25">
      <c r="A13" s="10">
        <v>246</v>
      </c>
      <c r="B13" s="1">
        <v>41</v>
      </c>
      <c r="C13" s="1">
        <v>0</v>
      </c>
      <c r="D13" s="1" t="s">
        <v>8</v>
      </c>
      <c r="E13" s="1">
        <v>2</v>
      </c>
      <c r="F13" s="21" t="s">
        <v>7</v>
      </c>
      <c r="I13" t="s">
        <v>34</v>
      </c>
      <c r="O13">
        <f t="shared" si="0"/>
        <v>1681</v>
      </c>
    </row>
    <row r="14" spans="1:15" x14ac:dyDescent="0.25">
      <c r="A14" s="10">
        <v>339</v>
      </c>
      <c r="B14" s="1">
        <v>37</v>
      </c>
      <c r="C14" s="1">
        <v>0</v>
      </c>
      <c r="D14" s="1" t="s">
        <v>8</v>
      </c>
      <c r="E14" s="1">
        <v>3</v>
      </c>
      <c r="F14" s="21" t="s">
        <v>10</v>
      </c>
      <c r="O14">
        <f t="shared" si="0"/>
        <v>1369</v>
      </c>
    </row>
    <row r="15" spans="1:15" x14ac:dyDescent="0.25">
      <c r="A15" s="10">
        <v>284</v>
      </c>
      <c r="B15" s="1">
        <v>33</v>
      </c>
      <c r="C15" s="1">
        <v>0</v>
      </c>
      <c r="D15" s="1" t="s">
        <v>8</v>
      </c>
      <c r="E15" s="1">
        <v>2</v>
      </c>
      <c r="F15" s="21" t="s">
        <v>7</v>
      </c>
      <c r="O15">
        <f t="shared" si="0"/>
        <v>1089</v>
      </c>
    </row>
    <row r="16" spans="1:15" x14ac:dyDescent="0.25">
      <c r="A16" s="10">
        <v>322</v>
      </c>
      <c r="B16" s="1">
        <v>35</v>
      </c>
      <c r="C16" s="1">
        <v>0</v>
      </c>
      <c r="D16" s="1" t="s">
        <v>8</v>
      </c>
      <c r="E16" s="1">
        <v>1</v>
      </c>
      <c r="F16" s="21" t="s">
        <v>9</v>
      </c>
      <c r="O16">
        <f t="shared" si="0"/>
        <v>1225</v>
      </c>
    </row>
    <row r="17" spans="1:15" x14ac:dyDescent="0.25">
      <c r="A17" s="10">
        <v>480</v>
      </c>
      <c r="B17" s="1">
        <v>35</v>
      </c>
      <c r="C17" s="1">
        <v>0</v>
      </c>
      <c r="D17" s="1" t="s">
        <v>8</v>
      </c>
      <c r="E17" s="1">
        <v>2</v>
      </c>
      <c r="F17" s="21" t="s">
        <v>7</v>
      </c>
      <c r="O17">
        <f t="shared" si="0"/>
        <v>1225</v>
      </c>
    </row>
    <row r="18" spans="1:15" x14ac:dyDescent="0.25">
      <c r="A18" s="10">
        <v>221</v>
      </c>
      <c r="B18" s="1">
        <v>35</v>
      </c>
      <c r="C18" s="1">
        <v>0</v>
      </c>
      <c r="D18" s="1" t="s">
        <v>8</v>
      </c>
      <c r="E18" s="1">
        <v>1</v>
      </c>
      <c r="F18" s="21" t="s">
        <v>9</v>
      </c>
      <c r="O18">
        <f t="shared" si="0"/>
        <v>1225</v>
      </c>
    </row>
    <row r="19" spans="1:15" x14ac:dyDescent="0.25">
      <c r="A19" s="10">
        <v>132</v>
      </c>
      <c r="B19" s="1">
        <v>36</v>
      </c>
      <c r="C19" s="1">
        <v>0</v>
      </c>
      <c r="D19" s="1" t="s">
        <v>8</v>
      </c>
      <c r="E19" s="1">
        <v>1</v>
      </c>
      <c r="F19" s="21" t="s">
        <v>9</v>
      </c>
      <c r="O19">
        <f t="shared" si="0"/>
        <v>1296</v>
      </c>
    </row>
    <row r="20" spans="1:15" x14ac:dyDescent="0.25">
      <c r="A20" s="10">
        <v>48</v>
      </c>
      <c r="B20" s="1">
        <v>33</v>
      </c>
      <c r="C20" s="1">
        <v>0</v>
      </c>
      <c r="D20" s="1" t="s">
        <v>8</v>
      </c>
      <c r="E20" s="1">
        <v>3</v>
      </c>
      <c r="F20" s="21" t="s">
        <v>10</v>
      </c>
      <c r="O20">
        <f t="shared" si="0"/>
        <v>1089</v>
      </c>
    </row>
    <row r="21" spans="1:15" x14ac:dyDescent="0.25">
      <c r="A21" s="10">
        <v>213</v>
      </c>
      <c r="B21" s="1">
        <v>35</v>
      </c>
      <c r="C21" s="1">
        <v>0</v>
      </c>
      <c r="D21" s="1" t="s">
        <v>8</v>
      </c>
      <c r="E21" s="1">
        <v>2</v>
      </c>
      <c r="F21" s="21" t="s">
        <v>7</v>
      </c>
      <c r="O21">
        <f t="shared" si="0"/>
        <v>1225</v>
      </c>
    </row>
    <row r="22" spans="1:15" x14ac:dyDescent="0.25">
      <c r="A22" s="10">
        <v>22</v>
      </c>
      <c r="B22" s="1">
        <v>33</v>
      </c>
      <c r="C22" s="1">
        <v>0</v>
      </c>
      <c r="D22" s="1" t="s">
        <v>8</v>
      </c>
      <c r="E22" s="1">
        <v>3</v>
      </c>
      <c r="F22" s="21" t="s">
        <v>10</v>
      </c>
      <c r="O22">
        <f t="shared" si="0"/>
        <v>1089</v>
      </c>
    </row>
    <row r="23" spans="1:15" x14ac:dyDescent="0.25">
      <c r="A23" s="10">
        <v>227</v>
      </c>
      <c r="B23" s="1">
        <v>39</v>
      </c>
      <c r="C23" s="1">
        <v>0</v>
      </c>
      <c r="D23" s="1" t="s">
        <v>8</v>
      </c>
      <c r="E23" s="1">
        <v>1</v>
      </c>
      <c r="F23" s="21" t="s">
        <v>9</v>
      </c>
      <c r="O23">
        <f t="shared" si="0"/>
        <v>1521</v>
      </c>
    </row>
    <row r="24" spans="1:15" x14ac:dyDescent="0.25">
      <c r="A24" s="10">
        <v>432</v>
      </c>
      <c r="B24" s="1">
        <v>38</v>
      </c>
      <c r="C24" s="1">
        <v>0</v>
      </c>
      <c r="D24" s="1" t="s">
        <v>8</v>
      </c>
      <c r="E24" s="1">
        <v>2</v>
      </c>
      <c r="F24" s="21" t="s">
        <v>7</v>
      </c>
      <c r="O24">
        <f t="shared" si="0"/>
        <v>1444</v>
      </c>
    </row>
    <row r="25" spans="1:15" x14ac:dyDescent="0.25">
      <c r="A25" s="10">
        <v>316</v>
      </c>
      <c r="B25" s="1">
        <v>40</v>
      </c>
      <c r="C25" s="1">
        <v>0</v>
      </c>
      <c r="D25" s="1" t="s">
        <v>8</v>
      </c>
      <c r="E25" s="1">
        <v>3</v>
      </c>
      <c r="F25" s="21" t="s">
        <v>10</v>
      </c>
      <c r="O25">
        <f t="shared" si="0"/>
        <v>1600</v>
      </c>
    </row>
    <row r="26" spans="1:15" x14ac:dyDescent="0.25">
      <c r="A26" s="10">
        <v>26</v>
      </c>
      <c r="B26" s="1">
        <v>31</v>
      </c>
      <c r="C26" s="1">
        <v>0</v>
      </c>
      <c r="D26" s="1" t="s">
        <v>8</v>
      </c>
      <c r="E26" s="1">
        <v>1</v>
      </c>
      <c r="F26" s="21" t="s">
        <v>9</v>
      </c>
      <c r="O26">
        <f t="shared" si="0"/>
        <v>961</v>
      </c>
    </row>
    <row r="27" spans="1:15" x14ac:dyDescent="0.25">
      <c r="A27" s="10">
        <v>389</v>
      </c>
      <c r="B27" s="1">
        <v>31</v>
      </c>
      <c r="C27" s="1">
        <v>0</v>
      </c>
      <c r="D27" s="1" t="s">
        <v>8</v>
      </c>
      <c r="E27" s="1">
        <v>2</v>
      </c>
      <c r="F27" s="21" t="s">
        <v>7</v>
      </c>
      <c r="O27">
        <f t="shared" si="0"/>
        <v>961</v>
      </c>
    </row>
    <row r="28" spans="1:15" x14ac:dyDescent="0.25">
      <c r="A28" s="10">
        <v>47</v>
      </c>
      <c r="B28" s="1">
        <v>50</v>
      </c>
      <c r="C28" s="1">
        <v>0</v>
      </c>
      <c r="D28" s="1" t="s">
        <v>8</v>
      </c>
      <c r="E28" s="1">
        <v>3</v>
      </c>
      <c r="F28" s="21" t="s">
        <v>10</v>
      </c>
      <c r="O28">
        <f t="shared" si="0"/>
        <v>2500</v>
      </c>
    </row>
    <row r="29" spans="1:15" x14ac:dyDescent="0.25">
      <c r="A29" s="10">
        <v>330</v>
      </c>
      <c r="B29" s="1">
        <v>31</v>
      </c>
      <c r="C29" s="1">
        <v>0</v>
      </c>
      <c r="D29" s="1" t="s">
        <v>8</v>
      </c>
      <c r="E29" s="1">
        <v>3</v>
      </c>
      <c r="F29" s="21" t="s">
        <v>10</v>
      </c>
      <c r="O29">
        <f t="shared" si="0"/>
        <v>961</v>
      </c>
    </row>
    <row r="30" spans="1:15" x14ac:dyDescent="0.25">
      <c r="A30" s="10">
        <v>366</v>
      </c>
      <c r="B30" s="1">
        <v>42</v>
      </c>
      <c r="C30" s="1">
        <v>0</v>
      </c>
      <c r="D30" s="1" t="s">
        <v>8</v>
      </c>
      <c r="E30" s="1">
        <v>1</v>
      </c>
      <c r="F30" s="21" t="s">
        <v>9</v>
      </c>
      <c r="O30">
        <f t="shared" si="0"/>
        <v>1764</v>
      </c>
    </row>
    <row r="31" spans="1:15" x14ac:dyDescent="0.25">
      <c r="A31" s="10">
        <v>362</v>
      </c>
      <c r="B31" s="1">
        <v>50</v>
      </c>
      <c r="C31" s="1">
        <v>0</v>
      </c>
      <c r="D31" s="1" t="s">
        <v>8</v>
      </c>
      <c r="E31" s="1">
        <v>3</v>
      </c>
      <c r="F31" s="21" t="s">
        <v>10</v>
      </c>
      <c r="O31">
        <f t="shared" si="0"/>
        <v>2500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EB3F-657F-4454-8225-8FDFDBFC3D6C}">
  <sheetPr codeName="Feuil8"/>
  <dimension ref="A1:O31"/>
  <sheetViews>
    <sheetView tabSelected="1" workbookViewId="0">
      <selection activeCell="L16" sqref="L16"/>
    </sheetView>
  </sheetViews>
  <sheetFormatPr baseColWidth="10" defaultRowHeight="15" x14ac:dyDescent="0.25"/>
  <cols>
    <col min="4" max="4" width="12.28515625" bestFit="1" customWidth="1"/>
    <col min="6" max="6" width="18.42578125" bestFit="1" customWidth="1"/>
    <col min="9" max="9" width="64.140625" bestFit="1" customWidth="1"/>
    <col min="12" max="12" width="21.28515625" bestFit="1" customWidth="1"/>
  </cols>
  <sheetData>
    <row r="1" spans="1:15" s="3" customFormat="1" x14ac:dyDescent="0.25">
      <c r="A1" s="11" t="s">
        <v>1</v>
      </c>
      <c r="B1" s="22" t="s">
        <v>0</v>
      </c>
      <c r="C1" s="22" t="s">
        <v>2</v>
      </c>
      <c r="D1" s="22" t="s">
        <v>4</v>
      </c>
      <c r="E1" s="22" t="s">
        <v>3</v>
      </c>
      <c r="F1" s="23" t="s">
        <v>5</v>
      </c>
      <c r="J1" s="27"/>
      <c r="O1" s="3" t="s">
        <v>28</v>
      </c>
    </row>
    <row r="2" spans="1:15" x14ac:dyDescent="0.25">
      <c r="A2" s="10">
        <v>297</v>
      </c>
      <c r="B2" s="1">
        <v>35</v>
      </c>
      <c r="C2" s="1">
        <v>1</v>
      </c>
      <c r="D2" s="1" t="s">
        <v>6</v>
      </c>
      <c r="E2" s="1">
        <v>1</v>
      </c>
      <c r="F2" s="21" t="s">
        <v>9</v>
      </c>
      <c r="O2">
        <f>B2^2</f>
        <v>1225</v>
      </c>
    </row>
    <row r="3" spans="1:15" x14ac:dyDescent="0.25">
      <c r="A3" s="10">
        <v>106</v>
      </c>
      <c r="B3" s="1">
        <v>43</v>
      </c>
      <c r="C3" s="1">
        <v>1</v>
      </c>
      <c r="D3" s="1" t="s">
        <v>6</v>
      </c>
      <c r="E3" s="1">
        <v>1</v>
      </c>
      <c r="F3" s="21" t="s">
        <v>9</v>
      </c>
      <c r="O3">
        <f t="shared" ref="O3:O31" si="0">B3^2</f>
        <v>1849</v>
      </c>
    </row>
    <row r="4" spans="1:15" x14ac:dyDescent="0.25">
      <c r="A4" s="10">
        <v>430</v>
      </c>
      <c r="B4" s="1">
        <v>36</v>
      </c>
      <c r="C4" s="1">
        <v>1</v>
      </c>
      <c r="D4" s="1" t="s">
        <v>6</v>
      </c>
      <c r="E4" s="1">
        <v>3</v>
      </c>
      <c r="F4" s="21" t="s">
        <v>10</v>
      </c>
      <c r="I4" s="3" t="s">
        <v>22</v>
      </c>
      <c r="L4" s="3" t="s">
        <v>25</v>
      </c>
      <c r="O4">
        <f t="shared" si="0"/>
        <v>1296</v>
      </c>
    </row>
    <row r="5" spans="1:15" x14ac:dyDescent="0.25">
      <c r="A5" s="10">
        <v>260</v>
      </c>
      <c r="B5" s="1">
        <v>50</v>
      </c>
      <c r="C5" s="1">
        <v>1</v>
      </c>
      <c r="D5" s="1" t="s">
        <v>6</v>
      </c>
      <c r="E5" s="1">
        <v>2</v>
      </c>
      <c r="F5" s="21" t="s">
        <v>7</v>
      </c>
      <c r="I5" t="s">
        <v>23</v>
      </c>
      <c r="L5" t="s">
        <v>21</v>
      </c>
      <c r="M5">
        <f>SUM(B2:B51)</f>
        <v>1213</v>
      </c>
      <c r="O5">
        <f t="shared" si="0"/>
        <v>2500</v>
      </c>
    </row>
    <row r="6" spans="1:15" x14ac:dyDescent="0.25">
      <c r="A6" s="10">
        <v>231</v>
      </c>
      <c r="B6" s="1">
        <v>46</v>
      </c>
      <c r="C6" s="1">
        <v>1</v>
      </c>
      <c r="D6" s="1" t="s">
        <v>6</v>
      </c>
      <c r="E6" s="1">
        <v>2</v>
      </c>
      <c r="F6" s="21" t="s">
        <v>7</v>
      </c>
      <c r="I6" t="s">
        <v>24</v>
      </c>
      <c r="L6" t="s">
        <v>27</v>
      </c>
      <c r="M6">
        <f>SUM(O2:O51)</f>
        <v>50109</v>
      </c>
      <c r="O6">
        <f t="shared" si="0"/>
        <v>2116</v>
      </c>
    </row>
    <row r="7" spans="1:15" x14ac:dyDescent="0.25">
      <c r="A7" s="10">
        <v>291</v>
      </c>
      <c r="B7" s="1">
        <v>35</v>
      </c>
      <c r="C7" s="1">
        <v>1</v>
      </c>
      <c r="D7" s="1" t="s">
        <v>6</v>
      </c>
      <c r="E7" s="1">
        <v>2</v>
      </c>
      <c r="F7" s="21" t="s">
        <v>7</v>
      </c>
      <c r="I7" t="s">
        <v>35</v>
      </c>
      <c r="L7" t="s">
        <v>31</v>
      </c>
      <c r="M7">
        <f>(1/30)*M5</f>
        <v>40.43333333333333</v>
      </c>
      <c r="O7">
        <f t="shared" si="0"/>
        <v>1225</v>
      </c>
    </row>
    <row r="8" spans="1:15" x14ac:dyDescent="0.25">
      <c r="A8" s="10">
        <v>475</v>
      </c>
      <c r="B8" s="1">
        <v>34</v>
      </c>
      <c r="C8" s="1">
        <v>1</v>
      </c>
      <c r="D8" s="1" t="s">
        <v>6</v>
      </c>
      <c r="E8" s="1">
        <v>3</v>
      </c>
      <c r="F8" s="21" t="s">
        <v>10</v>
      </c>
      <c r="I8" t="s">
        <v>33</v>
      </c>
      <c r="O8">
        <f t="shared" si="0"/>
        <v>1156</v>
      </c>
    </row>
    <row r="9" spans="1:15" x14ac:dyDescent="0.25">
      <c r="A9" s="10">
        <v>59</v>
      </c>
      <c r="B9" s="1">
        <v>50</v>
      </c>
      <c r="C9" s="1">
        <v>1</v>
      </c>
      <c r="D9" s="1" t="s">
        <v>6</v>
      </c>
      <c r="E9" s="1">
        <v>2</v>
      </c>
      <c r="F9" s="21" t="s">
        <v>7</v>
      </c>
      <c r="I9" t="s">
        <v>30</v>
      </c>
      <c r="O9">
        <f t="shared" si="0"/>
        <v>2500</v>
      </c>
    </row>
    <row r="10" spans="1:15" x14ac:dyDescent="0.25">
      <c r="A10" s="10">
        <v>52</v>
      </c>
      <c r="B10" s="1">
        <v>39</v>
      </c>
      <c r="C10" s="1">
        <v>1</v>
      </c>
      <c r="D10" s="1" t="s">
        <v>6</v>
      </c>
      <c r="E10" s="1">
        <v>1</v>
      </c>
      <c r="F10" s="21" t="s">
        <v>9</v>
      </c>
      <c r="I10" t="s">
        <v>32</v>
      </c>
      <c r="K10" s="29"/>
      <c r="O10">
        <f t="shared" si="0"/>
        <v>1521</v>
      </c>
    </row>
    <row r="11" spans="1:15" x14ac:dyDescent="0.25">
      <c r="A11" s="10">
        <v>226</v>
      </c>
      <c r="B11" s="1">
        <v>34</v>
      </c>
      <c r="C11" s="1">
        <v>1</v>
      </c>
      <c r="D11" s="1" t="s">
        <v>6</v>
      </c>
      <c r="E11" s="1">
        <v>2</v>
      </c>
      <c r="F11" s="21" t="s">
        <v>7</v>
      </c>
      <c r="O11">
        <f t="shared" si="0"/>
        <v>1156</v>
      </c>
    </row>
    <row r="12" spans="1:15" x14ac:dyDescent="0.25">
      <c r="A12" s="10">
        <v>465</v>
      </c>
      <c r="B12" s="1">
        <v>38</v>
      </c>
      <c r="C12" s="1">
        <v>1</v>
      </c>
      <c r="D12" s="1" t="s">
        <v>6</v>
      </c>
      <c r="E12" s="1">
        <v>1</v>
      </c>
      <c r="F12" s="21" t="s">
        <v>9</v>
      </c>
      <c r="I12" t="s">
        <v>29</v>
      </c>
      <c r="O12">
        <f t="shared" si="0"/>
        <v>1444</v>
      </c>
    </row>
    <row r="13" spans="1:15" x14ac:dyDescent="0.25">
      <c r="A13" s="10">
        <v>260</v>
      </c>
      <c r="B13" s="1">
        <v>50</v>
      </c>
      <c r="C13" s="1">
        <v>1</v>
      </c>
      <c r="D13" s="1" t="s">
        <v>6</v>
      </c>
      <c r="E13" s="1">
        <v>2</v>
      </c>
      <c r="F13" s="21" t="s">
        <v>7</v>
      </c>
      <c r="I13" t="s">
        <v>34</v>
      </c>
      <c r="O13">
        <f t="shared" si="0"/>
        <v>2500</v>
      </c>
    </row>
    <row r="14" spans="1:15" x14ac:dyDescent="0.25">
      <c r="A14" s="10">
        <v>354</v>
      </c>
      <c r="B14" s="1">
        <v>44</v>
      </c>
      <c r="C14" s="1">
        <v>1</v>
      </c>
      <c r="D14" s="1" t="s">
        <v>6</v>
      </c>
      <c r="E14" s="1">
        <v>2</v>
      </c>
      <c r="F14" s="21" t="s">
        <v>7</v>
      </c>
      <c r="O14">
        <f t="shared" si="0"/>
        <v>1936</v>
      </c>
    </row>
    <row r="15" spans="1:15" x14ac:dyDescent="0.25">
      <c r="A15" s="10">
        <v>435</v>
      </c>
      <c r="B15" s="1">
        <v>45</v>
      </c>
      <c r="C15" s="1">
        <v>1</v>
      </c>
      <c r="D15" s="1" t="s">
        <v>6</v>
      </c>
      <c r="E15" s="1">
        <v>1</v>
      </c>
      <c r="F15" s="21" t="s">
        <v>9</v>
      </c>
      <c r="O15">
        <f t="shared" si="0"/>
        <v>2025</v>
      </c>
    </row>
    <row r="16" spans="1:15" x14ac:dyDescent="0.25">
      <c r="A16" s="10">
        <v>311</v>
      </c>
      <c r="B16" s="1">
        <v>41</v>
      </c>
      <c r="C16" s="1">
        <v>1</v>
      </c>
      <c r="D16" s="1" t="s">
        <v>6</v>
      </c>
      <c r="E16" s="1">
        <v>2</v>
      </c>
      <c r="F16" s="21" t="s">
        <v>7</v>
      </c>
      <c r="O16">
        <f t="shared" si="0"/>
        <v>1681</v>
      </c>
    </row>
    <row r="17" spans="1:15" x14ac:dyDescent="0.25">
      <c r="A17" s="10">
        <v>403</v>
      </c>
      <c r="B17" s="1">
        <v>34</v>
      </c>
      <c r="C17" s="1">
        <v>1</v>
      </c>
      <c r="D17" s="1" t="s">
        <v>6</v>
      </c>
      <c r="E17" s="1">
        <v>1</v>
      </c>
      <c r="F17" s="21" t="s">
        <v>9</v>
      </c>
      <c r="O17">
        <f t="shared" si="0"/>
        <v>1156</v>
      </c>
    </row>
    <row r="18" spans="1:15" x14ac:dyDescent="0.25">
      <c r="A18" s="10">
        <v>352</v>
      </c>
      <c r="B18" s="1">
        <v>33</v>
      </c>
      <c r="C18" s="1">
        <v>1</v>
      </c>
      <c r="D18" s="1" t="s">
        <v>6</v>
      </c>
      <c r="E18" s="1">
        <v>3</v>
      </c>
      <c r="F18" s="21" t="s">
        <v>10</v>
      </c>
      <c r="O18">
        <f t="shared" si="0"/>
        <v>1089</v>
      </c>
    </row>
    <row r="19" spans="1:15" x14ac:dyDescent="0.25">
      <c r="A19" s="10">
        <v>363</v>
      </c>
      <c r="B19" s="1">
        <v>37</v>
      </c>
      <c r="C19" s="1">
        <v>1</v>
      </c>
      <c r="D19" s="1" t="s">
        <v>6</v>
      </c>
      <c r="E19" s="1">
        <v>1</v>
      </c>
      <c r="F19" s="21" t="s">
        <v>9</v>
      </c>
      <c r="O19">
        <f t="shared" si="0"/>
        <v>1369</v>
      </c>
    </row>
    <row r="20" spans="1:15" x14ac:dyDescent="0.25">
      <c r="A20" s="10">
        <v>187</v>
      </c>
      <c r="B20" s="1">
        <v>32</v>
      </c>
      <c r="C20" s="1">
        <v>1</v>
      </c>
      <c r="D20" s="1" t="s">
        <v>6</v>
      </c>
      <c r="E20" s="1">
        <v>1</v>
      </c>
      <c r="F20" s="21" t="s">
        <v>9</v>
      </c>
      <c r="O20">
        <f t="shared" si="0"/>
        <v>1024</v>
      </c>
    </row>
    <row r="21" spans="1:15" x14ac:dyDescent="0.25">
      <c r="A21" s="10">
        <v>472</v>
      </c>
      <c r="B21" s="1">
        <v>42</v>
      </c>
      <c r="C21" s="1">
        <v>1</v>
      </c>
      <c r="D21" s="1" t="s">
        <v>6</v>
      </c>
      <c r="E21" s="1">
        <v>1</v>
      </c>
      <c r="F21" s="21" t="s">
        <v>9</v>
      </c>
      <c r="O21">
        <f t="shared" si="0"/>
        <v>1764</v>
      </c>
    </row>
    <row r="22" spans="1:15" x14ac:dyDescent="0.25">
      <c r="A22" s="10">
        <v>86</v>
      </c>
      <c r="B22" s="1">
        <v>50</v>
      </c>
      <c r="C22" s="1">
        <v>1</v>
      </c>
      <c r="D22" s="1" t="s">
        <v>6</v>
      </c>
      <c r="E22" s="1">
        <v>2</v>
      </c>
      <c r="F22" s="21" t="s">
        <v>7</v>
      </c>
      <c r="O22">
        <f t="shared" si="0"/>
        <v>2500</v>
      </c>
    </row>
    <row r="23" spans="1:15" ht="15.75" x14ac:dyDescent="0.25">
      <c r="A23" s="10">
        <v>11</v>
      </c>
      <c r="B23" s="1">
        <v>33</v>
      </c>
      <c r="C23" s="1">
        <v>1</v>
      </c>
      <c r="D23" s="1" t="s">
        <v>6</v>
      </c>
      <c r="E23" s="1">
        <v>3</v>
      </c>
      <c r="F23" s="21" t="s">
        <v>10</v>
      </c>
      <c r="J23" s="28"/>
      <c r="K23" s="29"/>
      <c r="O23">
        <f t="shared" si="0"/>
        <v>1089</v>
      </c>
    </row>
    <row r="24" spans="1:15" x14ac:dyDescent="0.25">
      <c r="A24" s="10">
        <v>231</v>
      </c>
      <c r="B24" s="1">
        <v>46</v>
      </c>
      <c r="C24" s="1">
        <v>1</v>
      </c>
      <c r="D24" s="1" t="s">
        <v>6</v>
      </c>
      <c r="E24" s="1">
        <v>2</v>
      </c>
      <c r="F24" s="21" t="s">
        <v>7</v>
      </c>
      <c r="O24">
        <f t="shared" si="0"/>
        <v>2116</v>
      </c>
    </row>
    <row r="25" spans="1:15" x14ac:dyDescent="0.25">
      <c r="A25" s="10">
        <v>323</v>
      </c>
      <c r="B25" s="1">
        <v>34</v>
      </c>
      <c r="C25" s="1">
        <v>1</v>
      </c>
      <c r="D25" s="1" t="s">
        <v>6</v>
      </c>
      <c r="E25" s="1">
        <v>3</v>
      </c>
      <c r="F25" s="21" t="s">
        <v>10</v>
      </c>
      <c r="O25">
        <f t="shared" si="0"/>
        <v>1156</v>
      </c>
    </row>
    <row r="26" spans="1:15" x14ac:dyDescent="0.25">
      <c r="A26" s="10">
        <v>271</v>
      </c>
      <c r="B26" s="1">
        <v>49</v>
      </c>
      <c r="C26" s="1">
        <v>1</v>
      </c>
      <c r="D26" s="1" t="s">
        <v>6</v>
      </c>
      <c r="E26" s="1">
        <v>3</v>
      </c>
      <c r="F26" s="21" t="s">
        <v>10</v>
      </c>
      <c r="O26">
        <f t="shared" si="0"/>
        <v>2401</v>
      </c>
    </row>
    <row r="27" spans="1:15" x14ac:dyDescent="0.25">
      <c r="A27" s="10">
        <v>452</v>
      </c>
      <c r="B27" s="1">
        <v>43</v>
      </c>
      <c r="C27" s="1">
        <v>1</v>
      </c>
      <c r="D27" s="1" t="s">
        <v>6</v>
      </c>
      <c r="E27" s="1">
        <v>3</v>
      </c>
      <c r="F27" s="21" t="s">
        <v>10</v>
      </c>
      <c r="O27">
        <f t="shared" si="0"/>
        <v>1849</v>
      </c>
    </row>
    <row r="28" spans="1:15" x14ac:dyDescent="0.25">
      <c r="A28" s="10">
        <v>233</v>
      </c>
      <c r="B28" s="1">
        <v>42</v>
      </c>
      <c r="C28" s="1">
        <v>1</v>
      </c>
      <c r="D28" s="1" t="s">
        <v>6</v>
      </c>
      <c r="E28" s="1">
        <v>3</v>
      </c>
      <c r="F28" s="21" t="s">
        <v>10</v>
      </c>
      <c r="O28">
        <f t="shared" si="0"/>
        <v>1764</v>
      </c>
    </row>
    <row r="29" spans="1:15" x14ac:dyDescent="0.25">
      <c r="A29" s="10">
        <v>407</v>
      </c>
      <c r="B29" s="1">
        <v>33</v>
      </c>
      <c r="C29" s="1">
        <v>1</v>
      </c>
      <c r="D29" s="1" t="s">
        <v>6</v>
      </c>
      <c r="E29" s="1">
        <v>1</v>
      </c>
      <c r="F29" s="21" t="s">
        <v>9</v>
      </c>
      <c r="O29">
        <f t="shared" si="0"/>
        <v>1089</v>
      </c>
    </row>
    <row r="30" spans="1:15" x14ac:dyDescent="0.25">
      <c r="A30" s="10">
        <v>484</v>
      </c>
      <c r="B30" s="1">
        <v>42</v>
      </c>
      <c r="C30" s="1">
        <v>1</v>
      </c>
      <c r="D30" s="1" t="s">
        <v>6</v>
      </c>
      <c r="E30" s="1">
        <v>3</v>
      </c>
      <c r="F30" s="21" t="s">
        <v>10</v>
      </c>
      <c r="O30">
        <f t="shared" si="0"/>
        <v>1764</v>
      </c>
    </row>
    <row r="31" spans="1:15" x14ac:dyDescent="0.25">
      <c r="A31" s="10">
        <v>200</v>
      </c>
      <c r="B31" s="1">
        <v>43</v>
      </c>
      <c r="C31" s="1">
        <v>1</v>
      </c>
      <c r="D31" s="1" t="s">
        <v>6</v>
      </c>
      <c r="E31" s="1">
        <v>1</v>
      </c>
      <c r="F31" s="21" t="s">
        <v>9</v>
      </c>
      <c r="O31">
        <f t="shared" si="0"/>
        <v>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5"/>
  <dimension ref="A1:F501"/>
  <sheetViews>
    <sheetView workbookViewId="0">
      <selection sqref="A1:F501"/>
    </sheetView>
  </sheetViews>
  <sheetFormatPr baseColWidth="10" defaultRowHeight="15" x14ac:dyDescent="0.25"/>
  <cols>
    <col min="2" max="2" width="9.7109375" customWidth="1"/>
    <col min="3" max="3" width="7.85546875" customWidth="1"/>
    <col min="4" max="4" width="12.140625" customWidth="1"/>
    <col min="6" max="6" width="18.28515625" customWidth="1"/>
  </cols>
  <sheetData>
    <row r="1" spans="1:6" x14ac:dyDescent="0.25">
      <c r="A1" s="2" t="s">
        <v>1</v>
      </c>
      <c r="B1" s="2" t="s">
        <v>0</v>
      </c>
      <c r="C1" s="2" t="s">
        <v>2</v>
      </c>
      <c r="D1" s="2" t="s">
        <v>4</v>
      </c>
      <c r="E1" s="2" t="s">
        <v>3</v>
      </c>
      <c r="F1" s="2" t="s">
        <v>5</v>
      </c>
    </row>
    <row r="2" spans="1:6" x14ac:dyDescent="0.25">
      <c r="A2" s="1">
        <v>1</v>
      </c>
      <c r="B2" s="1">
        <f ca="1">RANDBETWEEN(30,50)</f>
        <v>38</v>
      </c>
      <c r="C2" s="1">
        <f ca="1">RANDBETWEEN(0,1)</f>
        <v>0</v>
      </c>
      <c r="D2" s="1" t="str">
        <f ca="1">IF(C2=0, "Homme", "Femme")</f>
        <v>Homme</v>
      </c>
      <c r="E2" s="1">
        <f ca="1">RANDBETWEEN(1,3)</f>
        <v>3</v>
      </c>
      <c r="F2" s="1" t="str">
        <f ca="1">IF(E2=1, "Favorable", IF(E2=2, "Défavorable", "Ne se prononce pas"))</f>
        <v>Ne se prononce pas</v>
      </c>
    </row>
    <row r="3" spans="1:6" x14ac:dyDescent="0.25">
      <c r="A3" s="1">
        <f>A2+1</f>
        <v>2</v>
      </c>
      <c r="B3" s="1">
        <f ca="1">RANDBETWEEN(30,50)</f>
        <v>37</v>
      </c>
      <c r="C3" s="1">
        <f ca="1">RANDBETWEEN(0,1)</f>
        <v>0</v>
      </c>
      <c r="D3" s="1" t="str">
        <f ca="1">IF(C3=0, "Homme", "Femme")</f>
        <v>Homme</v>
      </c>
      <c r="E3" s="1">
        <f ca="1">RANDBETWEEN(1,3)</f>
        <v>2</v>
      </c>
      <c r="F3" s="1" t="str">
        <f ca="1">IF(E3=1, "Favorable", IF(E3=2, "Défavorable", "Ne se prononce pas"))</f>
        <v>Défavorable</v>
      </c>
    </row>
    <row r="4" spans="1:6" x14ac:dyDescent="0.25">
      <c r="A4" s="1">
        <f>A3+1</f>
        <v>3</v>
      </c>
      <c r="B4" s="1">
        <f ca="1">RANDBETWEEN(30,50)</f>
        <v>38</v>
      </c>
      <c r="C4" s="1">
        <f ca="1">RANDBETWEEN(0,1)</f>
        <v>1</v>
      </c>
      <c r="D4" s="1" t="str">
        <f ca="1">IF(C4=0, "Homme", "Femme")</f>
        <v>Femme</v>
      </c>
      <c r="E4" s="1">
        <f ca="1">RANDBETWEEN(1,3)</f>
        <v>1</v>
      </c>
      <c r="F4" s="1" t="str">
        <f ca="1">IF(E4=1, "Favorable", IF(E4=2, "Défavorable", "Ne se prononce pas"))</f>
        <v>Favorable</v>
      </c>
    </row>
    <row r="5" spans="1:6" x14ac:dyDescent="0.25">
      <c r="A5" s="1">
        <f>A4+1</f>
        <v>4</v>
      </c>
      <c r="B5" s="1">
        <f ca="1">RANDBETWEEN(30,50)</f>
        <v>50</v>
      </c>
      <c r="C5" s="1">
        <f ca="1">RANDBETWEEN(0,1)</f>
        <v>1</v>
      </c>
      <c r="D5" s="1" t="str">
        <f ca="1">IF(C5=0, "Homme", "Femme")</f>
        <v>Femme</v>
      </c>
      <c r="E5" s="1">
        <f ca="1">RANDBETWEEN(1,3)</f>
        <v>2</v>
      </c>
      <c r="F5" s="1" t="str">
        <f ca="1">IF(E5=1, "Favorable", IF(E5=2, "Défavorable", "Ne se prononce pas"))</f>
        <v>Défavorable</v>
      </c>
    </row>
    <row r="6" spans="1:6" x14ac:dyDescent="0.25">
      <c r="A6" s="1">
        <f>A5+1</f>
        <v>5</v>
      </c>
      <c r="B6" s="1">
        <f ca="1">RANDBETWEEN(30,50)</f>
        <v>30</v>
      </c>
      <c r="C6" s="1">
        <f ca="1">RANDBETWEEN(0,1)</f>
        <v>0</v>
      </c>
      <c r="D6" s="1" t="str">
        <f ca="1">IF(C6=0, "Homme", "Femme")</f>
        <v>Homme</v>
      </c>
      <c r="E6" s="1">
        <f ca="1">RANDBETWEEN(1,3)</f>
        <v>3</v>
      </c>
      <c r="F6" s="1" t="str">
        <f ca="1">IF(E6=1, "Favorable", IF(E6=2, "Défavorable", "Ne se prononce pas"))</f>
        <v>Ne se prononce pas</v>
      </c>
    </row>
    <row r="7" spans="1:6" x14ac:dyDescent="0.25">
      <c r="A7" s="1">
        <f t="shared" ref="A7:A15" si="0">A6+1</f>
        <v>6</v>
      </c>
      <c r="B7" s="1">
        <f t="shared" ref="B7:B70" ca="1" si="1">RANDBETWEEN(30,50)</f>
        <v>35</v>
      </c>
      <c r="C7" s="1">
        <f t="shared" ref="C7:C70" ca="1" si="2">RANDBETWEEN(0,1)</f>
        <v>0</v>
      </c>
      <c r="D7" s="1" t="str">
        <f t="shared" ref="D7:D70" ca="1" si="3">IF(C7=0, "Homme", "Femme")</f>
        <v>Homme</v>
      </c>
      <c r="E7" s="1">
        <f t="shared" ref="E7:E70" ca="1" si="4">RANDBETWEEN(1,3)</f>
        <v>3</v>
      </c>
      <c r="F7" s="1" t="str">
        <f t="shared" ref="F7:F70" ca="1" si="5">IF(E7=1, "Favorable", IF(E7=2, "Défavorable", "Ne se prononce pas"))</f>
        <v>Ne se prononce pas</v>
      </c>
    </row>
    <row r="8" spans="1:6" x14ac:dyDescent="0.25">
      <c r="A8" s="1">
        <f t="shared" si="0"/>
        <v>7</v>
      </c>
      <c r="B8" s="1">
        <f t="shared" ca="1" si="1"/>
        <v>33</v>
      </c>
      <c r="C8" s="1">
        <f t="shared" ca="1" si="2"/>
        <v>1</v>
      </c>
      <c r="D8" s="1" t="str">
        <f t="shared" ca="1" si="3"/>
        <v>Femme</v>
      </c>
      <c r="E8" s="1">
        <f t="shared" ca="1" si="4"/>
        <v>2</v>
      </c>
      <c r="F8" s="1" t="str">
        <f t="shared" ca="1" si="5"/>
        <v>Défavorable</v>
      </c>
    </row>
    <row r="9" spans="1:6" x14ac:dyDescent="0.25">
      <c r="A9" s="1">
        <f t="shared" si="0"/>
        <v>8</v>
      </c>
      <c r="B9" s="1">
        <f t="shared" ca="1" si="1"/>
        <v>37</v>
      </c>
      <c r="C9" s="1">
        <f t="shared" ca="1" si="2"/>
        <v>0</v>
      </c>
      <c r="D9" s="1" t="str">
        <f t="shared" ca="1" si="3"/>
        <v>Homme</v>
      </c>
      <c r="E9" s="1">
        <f t="shared" ca="1" si="4"/>
        <v>3</v>
      </c>
      <c r="F9" s="1" t="str">
        <f t="shared" ca="1" si="5"/>
        <v>Ne se prononce pas</v>
      </c>
    </row>
    <row r="10" spans="1:6" x14ac:dyDescent="0.25">
      <c r="A10" s="1">
        <f t="shared" si="0"/>
        <v>9</v>
      </c>
      <c r="B10" s="1">
        <f t="shared" ca="1" si="1"/>
        <v>50</v>
      </c>
      <c r="C10" s="1">
        <f t="shared" ca="1" si="2"/>
        <v>1</v>
      </c>
      <c r="D10" s="1" t="str">
        <f t="shared" ca="1" si="3"/>
        <v>Femme</v>
      </c>
      <c r="E10" s="1">
        <f t="shared" ca="1" si="4"/>
        <v>2</v>
      </c>
      <c r="F10" s="1" t="str">
        <f t="shared" ca="1" si="5"/>
        <v>Défavorable</v>
      </c>
    </row>
    <row r="11" spans="1:6" x14ac:dyDescent="0.25">
      <c r="A11" s="1">
        <f t="shared" si="0"/>
        <v>10</v>
      </c>
      <c r="B11" s="1">
        <f t="shared" ca="1" si="1"/>
        <v>48</v>
      </c>
      <c r="C11" s="1">
        <f t="shared" ca="1" si="2"/>
        <v>1</v>
      </c>
      <c r="D11" s="1" t="str">
        <f t="shared" ca="1" si="3"/>
        <v>Femme</v>
      </c>
      <c r="E11" s="1">
        <f t="shared" ca="1" si="4"/>
        <v>3</v>
      </c>
      <c r="F11" s="1" t="str">
        <f t="shared" ca="1" si="5"/>
        <v>Ne se prononce pas</v>
      </c>
    </row>
    <row r="12" spans="1:6" x14ac:dyDescent="0.25">
      <c r="A12" s="1">
        <f t="shared" si="0"/>
        <v>11</v>
      </c>
      <c r="B12" s="1">
        <f t="shared" ca="1" si="1"/>
        <v>31</v>
      </c>
      <c r="C12" s="1">
        <f t="shared" ca="1" si="2"/>
        <v>0</v>
      </c>
      <c r="D12" s="1" t="str">
        <f t="shared" ca="1" si="3"/>
        <v>Homme</v>
      </c>
      <c r="E12" s="1">
        <f t="shared" ca="1" si="4"/>
        <v>2</v>
      </c>
      <c r="F12" s="1" t="str">
        <f t="shared" ca="1" si="5"/>
        <v>Défavorable</v>
      </c>
    </row>
    <row r="13" spans="1:6" x14ac:dyDescent="0.25">
      <c r="A13" s="1">
        <f t="shared" si="0"/>
        <v>12</v>
      </c>
      <c r="B13" s="1">
        <f t="shared" ca="1" si="1"/>
        <v>36</v>
      </c>
      <c r="C13" s="1">
        <f t="shared" ca="1" si="2"/>
        <v>1</v>
      </c>
      <c r="D13" s="1" t="str">
        <f t="shared" ca="1" si="3"/>
        <v>Femme</v>
      </c>
      <c r="E13" s="1">
        <f t="shared" ca="1" si="4"/>
        <v>3</v>
      </c>
      <c r="F13" s="1" t="str">
        <f t="shared" ca="1" si="5"/>
        <v>Ne se prononce pas</v>
      </c>
    </row>
    <row r="14" spans="1:6" x14ac:dyDescent="0.25">
      <c r="A14" s="1">
        <f t="shared" si="0"/>
        <v>13</v>
      </c>
      <c r="B14" s="1">
        <f t="shared" ca="1" si="1"/>
        <v>47</v>
      </c>
      <c r="C14" s="1">
        <f t="shared" ca="1" si="2"/>
        <v>0</v>
      </c>
      <c r="D14" s="1" t="str">
        <f t="shared" ca="1" si="3"/>
        <v>Homme</v>
      </c>
      <c r="E14" s="1">
        <f t="shared" ca="1" si="4"/>
        <v>3</v>
      </c>
      <c r="F14" s="1" t="str">
        <f t="shared" ca="1" si="5"/>
        <v>Ne se prononce pas</v>
      </c>
    </row>
    <row r="15" spans="1:6" x14ac:dyDescent="0.25">
      <c r="A15" s="1">
        <f t="shared" si="0"/>
        <v>14</v>
      </c>
      <c r="B15" s="1">
        <f t="shared" ca="1" si="1"/>
        <v>31</v>
      </c>
      <c r="C15" s="1">
        <f t="shared" ca="1" si="2"/>
        <v>1</v>
      </c>
      <c r="D15" s="1" t="str">
        <f t="shared" ca="1" si="3"/>
        <v>Femme</v>
      </c>
      <c r="E15" s="1">
        <f t="shared" ca="1" si="4"/>
        <v>2</v>
      </c>
      <c r="F15" s="1" t="str">
        <f t="shared" ca="1" si="5"/>
        <v>Défavorable</v>
      </c>
    </row>
    <row r="16" spans="1:6" x14ac:dyDescent="0.25">
      <c r="A16" s="1">
        <f t="shared" ref="A16:A79" si="6">A15+1</f>
        <v>15</v>
      </c>
      <c r="B16" s="1">
        <f t="shared" ca="1" si="1"/>
        <v>32</v>
      </c>
      <c r="C16" s="1">
        <f t="shared" ca="1" si="2"/>
        <v>1</v>
      </c>
      <c r="D16" s="1" t="str">
        <f t="shared" ca="1" si="3"/>
        <v>Femme</v>
      </c>
      <c r="E16" s="1">
        <f t="shared" ca="1" si="4"/>
        <v>3</v>
      </c>
      <c r="F16" s="1" t="str">
        <f t="shared" ca="1" si="5"/>
        <v>Ne se prononce pas</v>
      </c>
    </row>
    <row r="17" spans="1:6" x14ac:dyDescent="0.25">
      <c r="A17" s="1">
        <f t="shared" si="6"/>
        <v>16</v>
      </c>
      <c r="B17" s="1">
        <f t="shared" ca="1" si="1"/>
        <v>36</v>
      </c>
      <c r="C17" s="1">
        <f t="shared" ca="1" si="2"/>
        <v>0</v>
      </c>
      <c r="D17" s="1" t="str">
        <f t="shared" ca="1" si="3"/>
        <v>Homme</v>
      </c>
      <c r="E17" s="1">
        <f t="shared" ca="1" si="4"/>
        <v>1</v>
      </c>
      <c r="F17" s="1" t="str">
        <f t="shared" ca="1" si="5"/>
        <v>Favorable</v>
      </c>
    </row>
    <row r="18" spans="1:6" x14ac:dyDescent="0.25">
      <c r="A18" s="1">
        <f t="shared" si="6"/>
        <v>17</v>
      </c>
      <c r="B18" s="1">
        <f t="shared" ca="1" si="1"/>
        <v>49</v>
      </c>
      <c r="C18" s="1">
        <f t="shared" ca="1" si="2"/>
        <v>0</v>
      </c>
      <c r="D18" s="1" t="str">
        <f t="shared" ca="1" si="3"/>
        <v>Homme</v>
      </c>
      <c r="E18" s="1">
        <f t="shared" ca="1" si="4"/>
        <v>1</v>
      </c>
      <c r="F18" s="1" t="str">
        <f t="shared" ca="1" si="5"/>
        <v>Favorable</v>
      </c>
    </row>
    <row r="19" spans="1:6" x14ac:dyDescent="0.25">
      <c r="A19" s="1">
        <f t="shared" si="6"/>
        <v>18</v>
      </c>
      <c r="B19" s="1">
        <f t="shared" ca="1" si="1"/>
        <v>30</v>
      </c>
      <c r="C19" s="1">
        <f t="shared" ca="1" si="2"/>
        <v>0</v>
      </c>
      <c r="D19" s="1" t="str">
        <f t="shared" ca="1" si="3"/>
        <v>Homme</v>
      </c>
      <c r="E19" s="1">
        <f t="shared" ca="1" si="4"/>
        <v>1</v>
      </c>
      <c r="F19" s="1" t="str">
        <f t="shared" ca="1" si="5"/>
        <v>Favorable</v>
      </c>
    </row>
    <row r="20" spans="1:6" x14ac:dyDescent="0.25">
      <c r="A20" s="1">
        <f t="shared" si="6"/>
        <v>19</v>
      </c>
      <c r="B20" s="1">
        <f t="shared" ca="1" si="1"/>
        <v>34</v>
      </c>
      <c r="C20" s="1">
        <f t="shared" ca="1" si="2"/>
        <v>0</v>
      </c>
      <c r="D20" s="1" t="str">
        <f t="shared" ca="1" si="3"/>
        <v>Homme</v>
      </c>
      <c r="E20" s="1">
        <f t="shared" ca="1" si="4"/>
        <v>3</v>
      </c>
      <c r="F20" s="1" t="str">
        <f t="shared" ca="1" si="5"/>
        <v>Ne se prononce pas</v>
      </c>
    </row>
    <row r="21" spans="1:6" x14ac:dyDescent="0.25">
      <c r="A21" s="1">
        <f t="shared" si="6"/>
        <v>20</v>
      </c>
      <c r="B21" s="1">
        <f t="shared" ca="1" si="1"/>
        <v>44</v>
      </c>
      <c r="C21" s="1">
        <f t="shared" ca="1" si="2"/>
        <v>0</v>
      </c>
      <c r="D21" s="1" t="str">
        <f t="shared" ca="1" si="3"/>
        <v>Homme</v>
      </c>
      <c r="E21" s="1">
        <f t="shared" ca="1" si="4"/>
        <v>1</v>
      </c>
      <c r="F21" s="1" t="str">
        <f t="shared" ca="1" si="5"/>
        <v>Favorable</v>
      </c>
    </row>
    <row r="22" spans="1:6" x14ac:dyDescent="0.25">
      <c r="A22" s="1">
        <f t="shared" si="6"/>
        <v>21</v>
      </c>
      <c r="B22" s="1">
        <f t="shared" ca="1" si="1"/>
        <v>43</v>
      </c>
      <c r="C22" s="1">
        <f t="shared" ca="1" si="2"/>
        <v>0</v>
      </c>
      <c r="D22" s="1" t="str">
        <f t="shared" ca="1" si="3"/>
        <v>Homme</v>
      </c>
      <c r="E22" s="1">
        <f t="shared" ca="1" si="4"/>
        <v>2</v>
      </c>
      <c r="F22" s="1" t="str">
        <f t="shared" ca="1" si="5"/>
        <v>Défavorable</v>
      </c>
    </row>
    <row r="23" spans="1:6" x14ac:dyDescent="0.25">
      <c r="A23" s="1">
        <f t="shared" si="6"/>
        <v>22</v>
      </c>
      <c r="B23" s="1">
        <f t="shared" ca="1" si="1"/>
        <v>36</v>
      </c>
      <c r="C23" s="1">
        <f t="shared" ca="1" si="2"/>
        <v>0</v>
      </c>
      <c r="D23" s="1" t="str">
        <f t="shared" ca="1" si="3"/>
        <v>Homme</v>
      </c>
      <c r="E23" s="1">
        <f t="shared" ca="1" si="4"/>
        <v>2</v>
      </c>
      <c r="F23" s="1" t="str">
        <f t="shared" ca="1" si="5"/>
        <v>Défavorable</v>
      </c>
    </row>
    <row r="24" spans="1:6" x14ac:dyDescent="0.25">
      <c r="A24" s="1">
        <f t="shared" si="6"/>
        <v>23</v>
      </c>
      <c r="B24" s="1">
        <f t="shared" ca="1" si="1"/>
        <v>47</v>
      </c>
      <c r="C24" s="1">
        <f t="shared" ca="1" si="2"/>
        <v>1</v>
      </c>
      <c r="D24" s="1" t="str">
        <f t="shared" ca="1" si="3"/>
        <v>Femme</v>
      </c>
      <c r="E24" s="1">
        <f t="shared" ca="1" si="4"/>
        <v>2</v>
      </c>
      <c r="F24" s="1" t="str">
        <f t="shared" ca="1" si="5"/>
        <v>Défavorable</v>
      </c>
    </row>
    <row r="25" spans="1:6" x14ac:dyDescent="0.25">
      <c r="A25" s="1">
        <f t="shared" si="6"/>
        <v>24</v>
      </c>
      <c r="B25" s="1">
        <f t="shared" ca="1" si="1"/>
        <v>44</v>
      </c>
      <c r="C25" s="1">
        <f t="shared" ca="1" si="2"/>
        <v>1</v>
      </c>
      <c r="D25" s="1" t="str">
        <f t="shared" ca="1" si="3"/>
        <v>Femme</v>
      </c>
      <c r="E25" s="1">
        <f t="shared" ca="1" si="4"/>
        <v>3</v>
      </c>
      <c r="F25" s="1" t="str">
        <f t="shared" ca="1" si="5"/>
        <v>Ne se prononce pas</v>
      </c>
    </row>
    <row r="26" spans="1:6" x14ac:dyDescent="0.25">
      <c r="A26" s="1">
        <f t="shared" si="6"/>
        <v>25</v>
      </c>
      <c r="B26" s="1">
        <f t="shared" ca="1" si="1"/>
        <v>42</v>
      </c>
      <c r="C26" s="1">
        <f t="shared" ca="1" si="2"/>
        <v>1</v>
      </c>
      <c r="D26" s="1" t="str">
        <f t="shared" ca="1" si="3"/>
        <v>Femme</v>
      </c>
      <c r="E26" s="1">
        <f t="shared" ca="1" si="4"/>
        <v>2</v>
      </c>
      <c r="F26" s="1" t="str">
        <f t="shared" ca="1" si="5"/>
        <v>Défavorable</v>
      </c>
    </row>
    <row r="27" spans="1:6" x14ac:dyDescent="0.25">
      <c r="A27" s="1">
        <f t="shared" si="6"/>
        <v>26</v>
      </c>
      <c r="B27" s="1">
        <f t="shared" ca="1" si="1"/>
        <v>44</v>
      </c>
      <c r="C27" s="1">
        <f t="shared" ca="1" si="2"/>
        <v>1</v>
      </c>
      <c r="D27" s="1" t="str">
        <f t="shared" ca="1" si="3"/>
        <v>Femme</v>
      </c>
      <c r="E27" s="1">
        <f t="shared" ca="1" si="4"/>
        <v>1</v>
      </c>
      <c r="F27" s="1" t="str">
        <f t="shared" ca="1" si="5"/>
        <v>Favorable</v>
      </c>
    </row>
    <row r="28" spans="1:6" x14ac:dyDescent="0.25">
      <c r="A28" s="1">
        <f t="shared" si="6"/>
        <v>27</v>
      </c>
      <c r="B28" s="1">
        <f t="shared" ca="1" si="1"/>
        <v>38</v>
      </c>
      <c r="C28" s="1">
        <f t="shared" ca="1" si="2"/>
        <v>0</v>
      </c>
      <c r="D28" s="1" t="str">
        <f t="shared" ca="1" si="3"/>
        <v>Homme</v>
      </c>
      <c r="E28" s="1">
        <f t="shared" ca="1" si="4"/>
        <v>3</v>
      </c>
      <c r="F28" s="1" t="str">
        <f t="shared" ca="1" si="5"/>
        <v>Ne se prononce pas</v>
      </c>
    </row>
    <row r="29" spans="1:6" x14ac:dyDescent="0.25">
      <c r="A29" s="1">
        <f t="shared" si="6"/>
        <v>28</v>
      </c>
      <c r="B29" s="1">
        <f t="shared" ca="1" si="1"/>
        <v>42</v>
      </c>
      <c r="C29" s="1">
        <f t="shared" ca="1" si="2"/>
        <v>1</v>
      </c>
      <c r="D29" s="1" t="str">
        <f t="shared" ca="1" si="3"/>
        <v>Femme</v>
      </c>
      <c r="E29" s="1">
        <f t="shared" ca="1" si="4"/>
        <v>1</v>
      </c>
      <c r="F29" s="1" t="str">
        <f t="shared" ca="1" si="5"/>
        <v>Favorable</v>
      </c>
    </row>
    <row r="30" spans="1:6" x14ac:dyDescent="0.25">
      <c r="A30" s="1">
        <f t="shared" si="6"/>
        <v>29</v>
      </c>
      <c r="B30" s="1">
        <f t="shared" ca="1" si="1"/>
        <v>40</v>
      </c>
      <c r="C30" s="1">
        <f t="shared" ca="1" si="2"/>
        <v>0</v>
      </c>
      <c r="D30" s="1" t="str">
        <f t="shared" ca="1" si="3"/>
        <v>Homme</v>
      </c>
      <c r="E30" s="1">
        <f t="shared" ca="1" si="4"/>
        <v>1</v>
      </c>
      <c r="F30" s="1" t="str">
        <f t="shared" ca="1" si="5"/>
        <v>Favorable</v>
      </c>
    </row>
    <row r="31" spans="1:6" x14ac:dyDescent="0.25">
      <c r="A31" s="1">
        <f t="shared" si="6"/>
        <v>30</v>
      </c>
      <c r="B31" s="1">
        <f t="shared" ca="1" si="1"/>
        <v>35</v>
      </c>
      <c r="C31" s="1">
        <f t="shared" ca="1" si="2"/>
        <v>1</v>
      </c>
      <c r="D31" s="1" t="str">
        <f t="shared" ca="1" si="3"/>
        <v>Femme</v>
      </c>
      <c r="E31" s="1">
        <f t="shared" ca="1" si="4"/>
        <v>1</v>
      </c>
      <c r="F31" s="1" t="str">
        <f t="shared" ca="1" si="5"/>
        <v>Favorable</v>
      </c>
    </row>
    <row r="32" spans="1:6" x14ac:dyDescent="0.25">
      <c r="A32" s="1">
        <f t="shared" si="6"/>
        <v>31</v>
      </c>
      <c r="B32" s="1">
        <f t="shared" ca="1" si="1"/>
        <v>34</v>
      </c>
      <c r="C32" s="1">
        <f t="shared" ca="1" si="2"/>
        <v>1</v>
      </c>
      <c r="D32" s="1" t="str">
        <f t="shared" ca="1" si="3"/>
        <v>Femme</v>
      </c>
      <c r="E32" s="1">
        <f t="shared" ca="1" si="4"/>
        <v>3</v>
      </c>
      <c r="F32" s="1" t="str">
        <f t="shared" ca="1" si="5"/>
        <v>Ne se prononce pas</v>
      </c>
    </row>
    <row r="33" spans="1:6" x14ac:dyDescent="0.25">
      <c r="A33" s="1">
        <f t="shared" si="6"/>
        <v>32</v>
      </c>
      <c r="B33" s="1">
        <f t="shared" ca="1" si="1"/>
        <v>37</v>
      </c>
      <c r="C33" s="1">
        <f t="shared" ca="1" si="2"/>
        <v>0</v>
      </c>
      <c r="D33" s="1" t="str">
        <f t="shared" ca="1" si="3"/>
        <v>Homme</v>
      </c>
      <c r="E33" s="1">
        <f t="shared" ca="1" si="4"/>
        <v>1</v>
      </c>
      <c r="F33" s="1" t="str">
        <f t="shared" ca="1" si="5"/>
        <v>Favorable</v>
      </c>
    </row>
    <row r="34" spans="1:6" x14ac:dyDescent="0.25">
      <c r="A34" s="1">
        <f t="shared" si="6"/>
        <v>33</v>
      </c>
      <c r="B34" s="1">
        <f t="shared" ca="1" si="1"/>
        <v>30</v>
      </c>
      <c r="C34" s="1">
        <f t="shared" ca="1" si="2"/>
        <v>0</v>
      </c>
      <c r="D34" s="1" t="str">
        <f t="shared" ca="1" si="3"/>
        <v>Homme</v>
      </c>
      <c r="E34" s="1">
        <f t="shared" ca="1" si="4"/>
        <v>1</v>
      </c>
      <c r="F34" s="1" t="str">
        <f t="shared" ca="1" si="5"/>
        <v>Favorable</v>
      </c>
    </row>
    <row r="35" spans="1:6" x14ac:dyDescent="0.25">
      <c r="A35" s="1">
        <f t="shared" si="6"/>
        <v>34</v>
      </c>
      <c r="B35" s="1">
        <f t="shared" ca="1" si="1"/>
        <v>36</v>
      </c>
      <c r="C35" s="1">
        <f t="shared" ca="1" si="2"/>
        <v>1</v>
      </c>
      <c r="D35" s="1" t="str">
        <f t="shared" ca="1" si="3"/>
        <v>Femme</v>
      </c>
      <c r="E35" s="1">
        <f t="shared" ca="1" si="4"/>
        <v>1</v>
      </c>
      <c r="F35" s="1" t="str">
        <f t="shared" ca="1" si="5"/>
        <v>Favorable</v>
      </c>
    </row>
    <row r="36" spans="1:6" x14ac:dyDescent="0.25">
      <c r="A36" s="1">
        <f t="shared" si="6"/>
        <v>35</v>
      </c>
      <c r="B36" s="1">
        <f t="shared" ca="1" si="1"/>
        <v>45</v>
      </c>
      <c r="C36" s="1">
        <f t="shared" ca="1" si="2"/>
        <v>1</v>
      </c>
      <c r="D36" s="1" t="str">
        <f t="shared" ca="1" si="3"/>
        <v>Femme</v>
      </c>
      <c r="E36" s="1">
        <f t="shared" ca="1" si="4"/>
        <v>2</v>
      </c>
      <c r="F36" s="1" t="str">
        <f t="shared" ca="1" si="5"/>
        <v>Défavorable</v>
      </c>
    </row>
    <row r="37" spans="1:6" x14ac:dyDescent="0.25">
      <c r="A37" s="1">
        <f t="shared" si="6"/>
        <v>36</v>
      </c>
      <c r="B37" s="1">
        <f t="shared" ca="1" si="1"/>
        <v>38</v>
      </c>
      <c r="C37" s="1">
        <f t="shared" ca="1" si="2"/>
        <v>1</v>
      </c>
      <c r="D37" s="1" t="str">
        <f t="shared" ca="1" si="3"/>
        <v>Femme</v>
      </c>
      <c r="E37" s="1">
        <f t="shared" ca="1" si="4"/>
        <v>3</v>
      </c>
      <c r="F37" s="1" t="str">
        <f t="shared" ca="1" si="5"/>
        <v>Ne se prononce pas</v>
      </c>
    </row>
    <row r="38" spans="1:6" x14ac:dyDescent="0.25">
      <c r="A38" s="1">
        <f t="shared" si="6"/>
        <v>37</v>
      </c>
      <c r="B38" s="1">
        <f t="shared" ca="1" si="1"/>
        <v>43</v>
      </c>
      <c r="C38" s="1">
        <f t="shared" ca="1" si="2"/>
        <v>0</v>
      </c>
      <c r="D38" s="1" t="str">
        <f t="shared" ca="1" si="3"/>
        <v>Homme</v>
      </c>
      <c r="E38" s="1">
        <f t="shared" ca="1" si="4"/>
        <v>2</v>
      </c>
      <c r="F38" s="1" t="str">
        <f t="shared" ca="1" si="5"/>
        <v>Défavorable</v>
      </c>
    </row>
    <row r="39" spans="1:6" x14ac:dyDescent="0.25">
      <c r="A39" s="1">
        <f t="shared" si="6"/>
        <v>38</v>
      </c>
      <c r="B39" s="1">
        <f t="shared" ca="1" si="1"/>
        <v>36</v>
      </c>
      <c r="C39" s="1">
        <f t="shared" ca="1" si="2"/>
        <v>0</v>
      </c>
      <c r="D39" s="1" t="str">
        <f t="shared" ca="1" si="3"/>
        <v>Homme</v>
      </c>
      <c r="E39" s="1">
        <f t="shared" ca="1" si="4"/>
        <v>3</v>
      </c>
      <c r="F39" s="1" t="str">
        <f t="shared" ca="1" si="5"/>
        <v>Ne se prononce pas</v>
      </c>
    </row>
    <row r="40" spans="1:6" x14ac:dyDescent="0.25">
      <c r="A40" s="1">
        <f t="shared" si="6"/>
        <v>39</v>
      </c>
      <c r="B40" s="1">
        <f t="shared" ca="1" si="1"/>
        <v>33</v>
      </c>
      <c r="C40" s="1">
        <f t="shared" ca="1" si="2"/>
        <v>1</v>
      </c>
      <c r="D40" s="1" t="str">
        <f t="shared" ca="1" si="3"/>
        <v>Femme</v>
      </c>
      <c r="E40" s="1">
        <f t="shared" ca="1" si="4"/>
        <v>2</v>
      </c>
      <c r="F40" s="1" t="str">
        <f t="shared" ca="1" si="5"/>
        <v>Défavorable</v>
      </c>
    </row>
    <row r="41" spans="1:6" x14ac:dyDescent="0.25">
      <c r="A41" s="1">
        <f t="shared" si="6"/>
        <v>40</v>
      </c>
      <c r="B41" s="1">
        <f t="shared" ca="1" si="1"/>
        <v>41</v>
      </c>
      <c r="C41" s="1">
        <f t="shared" ca="1" si="2"/>
        <v>1</v>
      </c>
      <c r="D41" s="1" t="str">
        <f t="shared" ca="1" si="3"/>
        <v>Femme</v>
      </c>
      <c r="E41" s="1">
        <f t="shared" ca="1" si="4"/>
        <v>2</v>
      </c>
      <c r="F41" s="1" t="str">
        <f t="shared" ca="1" si="5"/>
        <v>Défavorable</v>
      </c>
    </row>
    <row r="42" spans="1:6" x14ac:dyDescent="0.25">
      <c r="A42" s="1">
        <f t="shared" si="6"/>
        <v>41</v>
      </c>
      <c r="B42" s="1">
        <f t="shared" ca="1" si="1"/>
        <v>46</v>
      </c>
      <c r="C42" s="1">
        <f t="shared" ca="1" si="2"/>
        <v>1</v>
      </c>
      <c r="D42" s="1" t="str">
        <f t="shared" ca="1" si="3"/>
        <v>Femme</v>
      </c>
      <c r="E42" s="1">
        <f t="shared" ca="1" si="4"/>
        <v>1</v>
      </c>
      <c r="F42" s="1" t="str">
        <f t="shared" ca="1" si="5"/>
        <v>Favorable</v>
      </c>
    </row>
    <row r="43" spans="1:6" x14ac:dyDescent="0.25">
      <c r="A43" s="1">
        <f t="shared" si="6"/>
        <v>42</v>
      </c>
      <c r="B43" s="1">
        <f t="shared" ca="1" si="1"/>
        <v>40</v>
      </c>
      <c r="C43" s="1">
        <f t="shared" ca="1" si="2"/>
        <v>0</v>
      </c>
      <c r="D43" s="1" t="str">
        <f t="shared" ca="1" si="3"/>
        <v>Homme</v>
      </c>
      <c r="E43" s="1">
        <f t="shared" ca="1" si="4"/>
        <v>1</v>
      </c>
      <c r="F43" s="1" t="str">
        <f t="shared" ca="1" si="5"/>
        <v>Favorable</v>
      </c>
    </row>
    <row r="44" spans="1:6" x14ac:dyDescent="0.25">
      <c r="A44" s="1">
        <f t="shared" si="6"/>
        <v>43</v>
      </c>
      <c r="B44" s="1">
        <f t="shared" ca="1" si="1"/>
        <v>32</v>
      </c>
      <c r="C44" s="1">
        <f t="shared" ca="1" si="2"/>
        <v>0</v>
      </c>
      <c r="D44" s="1" t="str">
        <f t="shared" ca="1" si="3"/>
        <v>Homme</v>
      </c>
      <c r="E44" s="1">
        <f t="shared" ca="1" si="4"/>
        <v>1</v>
      </c>
      <c r="F44" s="1" t="str">
        <f t="shared" ca="1" si="5"/>
        <v>Favorable</v>
      </c>
    </row>
    <row r="45" spans="1:6" x14ac:dyDescent="0.25">
      <c r="A45" s="1">
        <f t="shared" si="6"/>
        <v>44</v>
      </c>
      <c r="B45" s="1">
        <f t="shared" ca="1" si="1"/>
        <v>48</v>
      </c>
      <c r="C45" s="1">
        <f t="shared" ca="1" si="2"/>
        <v>1</v>
      </c>
      <c r="D45" s="1" t="str">
        <f t="shared" ca="1" si="3"/>
        <v>Femme</v>
      </c>
      <c r="E45" s="1">
        <f t="shared" ca="1" si="4"/>
        <v>3</v>
      </c>
      <c r="F45" s="1" t="str">
        <f t="shared" ca="1" si="5"/>
        <v>Ne se prononce pas</v>
      </c>
    </row>
    <row r="46" spans="1:6" x14ac:dyDescent="0.25">
      <c r="A46" s="1">
        <f t="shared" si="6"/>
        <v>45</v>
      </c>
      <c r="B46" s="1">
        <f t="shared" ca="1" si="1"/>
        <v>48</v>
      </c>
      <c r="C46" s="1">
        <f t="shared" ca="1" si="2"/>
        <v>1</v>
      </c>
      <c r="D46" s="1" t="str">
        <f t="shared" ca="1" si="3"/>
        <v>Femme</v>
      </c>
      <c r="E46" s="1">
        <f t="shared" ca="1" si="4"/>
        <v>2</v>
      </c>
      <c r="F46" s="1" t="str">
        <f t="shared" ca="1" si="5"/>
        <v>Défavorable</v>
      </c>
    </row>
    <row r="47" spans="1:6" x14ac:dyDescent="0.25">
      <c r="A47" s="1">
        <f t="shared" si="6"/>
        <v>46</v>
      </c>
      <c r="B47" s="1">
        <f t="shared" ca="1" si="1"/>
        <v>41</v>
      </c>
      <c r="C47" s="1">
        <f t="shared" ca="1" si="2"/>
        <v>0</v>
      </c>
      <c r="D47" s="1" t="str">
        <f t="shared" ca="1" si="3"/>
        <v>Homme</v>
      </c>
      <c r="E47" s="1">
        <f t="shared" ca="1" si="4"/>
        <v>1</v>
      </c>
      <c r="F47" s="1" t="str">
        <f t="shared" ca="1" si="5"/>
        <v>Favorable</v>
      </c>
    </row>
    <row r="48" spans="1:6" x14ac:dyDescent="0.25">
      <c r="A48" s="1">
        <f t="shared" si="6"/>
        <v>47</v>
      </c>
      <c r="B48" s="1">
        <f t="shared" ca="1" si="1"/>
        <v>43</v>
      </c>
      <c r="C48" s="1">
        <f t="shared" ca="1" si="2"/>
        <v>1</v>
      </c>
      <c r="D48" s="1" t="str">
        <f t="shared" ca="1" si="3"/>
        <v>Femme</v>
      </c>
      <c r="E48" s="1">
        <f t="shared" ca="1" si="4"/>
        <v>3</v>
      </c>
      <c r="F48" s="1" t="str">
        <f t="shared" ca="1" si="5"/>
        <v>Ne se prononce pas</v>
      </c>
    </row>
    <row r="49" spans="1:6" x14ac:dyDescent="0.25">
      <c r="A49" s="1">
        <f t="shared" si="6"/>
        <v>48</v>
      </c>
      <c r="B49" s="1">
        <f t="shared" ca="1" si="1"/>
        <v>45</v>
      </c>
      <c r="C49" s="1">
        <f t="shared" ca="1" si="2"/>
        <v>0</v>
      </c>
      <c r="D49" s="1" t="str">
        <f t="shared" ca="1" si="3"/>
        <v>Homme</v>
      </c>
      <c r="E49" s="1">
        <f t="shared" ca="1" si="4"/>
        <v>2</v>
      </c>
      <c r="F49" s="1" t="str">
        <f t="shared" ca="1" si="5"/>
        <v>Défavorable</v>
      </c>
    </row>
    <row r="50" spans="1:6" x14ac:dyDescent="0.25">
      <c r="A50" s="1">
        <f t="shared" si="6"/>
        <v>49</v>
      </c>
      <c r="B50" s="1">
        <f t="shared" ca="1" si="1"/>
        <v>41</v>
      </c>
      <c r="C50" s="1">
        <f t="shared" ca="1" si="2"/>
        <v>1</v>
      </c>
      <c r="D50" s="1" t="str">
        <f t="shared" ca="1" si="3"/>
        <v>Femme</v>
      </c>
      <c r="E50" s="1">
        <f t="shared" ca="1" si="4"/>
        <v>2</v>
      </c>
      <c r="F50" s="1" t="str">
        <f t="shared" ca="1" si="5"/>
        <v>Défavorable</v>
      </c>
    </row>
    <row r="51" spans="1:6" x14ac:dyDescent="0.25">
      <c r="A51" s="1">
        <f t="shared" si="6"/>
        <v>50</v>
      </c>
      <c r="B51" s="1">
        <f t="shared" ca="1" si="1"/>
        <v>35</v>
      </c>
      <c r="C51" s="1">
        <f t="shared" ca="1" si="2"/>
        <v>1</v>
      </c>
      <c r="D51" s="1" t="str">
        <f t="shared" ca="1" si="3"/>
        <v>Femme</v>
      </c>
      <c r="E51" s="1">
        <f t="shared" ca="1" si="4"/>
        <v>1</v>
      </c>
      <c r="F51" s="1" t="str">
        <f t="shared" ca="1" si="5"/>
        <v>Favorable</v>
      </c>
    </row>
    <row r="52" spans="1:6" x14ac:dyDescent="0.25">
      <c r="A52" s="1">
        <f t="shared" si="6"/>
        <v>51</v>
      </c>
      <c r="B52" s="1">
        <f t="shared" ca="1" si="1"/>
        <v>33</v>
      </c>
      <c r="C52" s="1">
        <f t="shared" ca="1" si="2"/>
        <v>0</v>
      </c>
      <c r="D52" s="1" t="str">
        <f t="shared" ca="1" si="3"/>
        <v>Homme</v>
      </c>
      <c r="E52" s="1">
        <f t="shared" ca="1" si="4"/>
        <v>2</v>
      </c>
      <c r="F52" s="1" t="str">
        <f t="shared" ca="1" si="5"/>
        <v>Défavorable</v>
      </c>
    </row>
    <row r="53" spans="1:6" x14ac:dyDescent="0.25">
      <c r="A53" s="1">
        <f t="shared" si="6"/>
        <v>52</v>
      </c>
      <c r="B53" s="1">
        <f t="shared" ca="1" si="1"/>
        <v>33</v>
      </c>
      <c r="C53" s="1">
        <f t="shared" ca="1" si="2"/>
        <v>0</v>
      </c>
      <c r="D53" s="1" t="str">
        <f t="shared" ca="1" si="3"/>
        <v>Homme</v>
      </c>
      <c r="E53" s="1">
        <f t="shared" ca="1" si="4"/>
        <v>2</v>
      </c>
      <c r="F53" s="1" t="str">
        <f t="shared" ca="1" si="5"/>
        <v>Défavorable</v>
      </c>
    </row>
    <row r="54" spans="1:6" x14ac:dyDescent="0.25">
      <c r="A54" s="1">
        <f t="shared" si="6"/>
        <v>53</v>
      </c>
      <c r="B54" s="1">
        <f t="shared" ca="1" si="1"/>
        <v>40</v>
      </c>
      <c r="C54" s="1">
        <f t="shared" ca="1" si="2"/>
        <v>1</v>
      </c>
      <c r="D54" s="1" t="str">
        <f t="shared" ca="1" si="3"/>
        <v>Femme</v>
      </c>
      <c r="E54" s="1">
        <f t="shared" ca="1" si="4"/>
        <v>3</v>
      </c>
      <c r="F54" s="1" t="str">
        <f t="shared" ca="1" si="5"/>
        <v>Ne se prononce pas</v>
      </c>
    </row>
    <row r="55" spans="1:6" x14ac:dyDescent="0.25">
      <c r="A55" s="1">
        <f t="shared" si="6"/>
        <v>54</v>
      </c>
      <c r="B55" s="1">
        <f t="shared" ca="1" si="1"/>
        <v>49</v>
      </c>
      <c r="C55" s="1">
        <f t="shared" ca="1" si="2"/>
        <v>0</v>
      </c>
      <c r="D55" s="1" t="str">
        <f t="shared" ca="1" si="3"/>
        <v>Homme</v>
      </c>
      <c r="E55" s="1">
        <f t="shared" ca="1" si="4"/>
        <v>2</v>
      </c>
      <c r="F55" s="1" t="str">
        <f t="shared" ca="1" si="5"/>
        <v>Défavorable</v>
      </c>
    </row>
    <row r="56" spans="1:6" x14ac:dyDescent="0.25">
      <c r="A56" s="1">
        <f t="shared" si="6"/>
        <v>55</v>
      </c>
      <c r="B56" s="1">
        <f t="shared" ca="1" si="1"/>
        <v>37</v>
      </c>
      <c r="C56" s="1">
        <f t="shared" ca="1" si="2"/>
        <v>1</v>
      </c>
      <c r="D56" s="1" t="str">
        <f t="shared" ca="1" si="3"/>
        <v>Femme</v>
      </c>
      <c r="E56" s="1">
        <f t="shared" ca="1" si="4"/>
        <v>2</v>
      </c>
      <c r="F56" s="1" t="str">
        <f t="shared" ca="1" si="5"/>
        <v>Défavorable</v>
      </c>
    </row>
    <row r="57" spans="1:6" x14ac:dyDescent="0.25">
      <c r="A57" s="1">
        <f t="shared" si="6"/>
        <v>56</v>
      </c>
      <c r="B57" s="1">
        <f t="shared" ca="1" si="1"/>
        <v>43</v>
      </c>
      <c r="C57" s="1">
        <f t="shared" ca="1" si="2"/>
        <v>0</v>
      </c>
      <c r="D57" s="1" t="str">
        <f t="shared" ca="1" si="3"/>
        <v>Homme</v>
      </c>
      <c r="E57" s="1">
        <f t="shared" ca="1" si="4"/>
        <v>1</v>
      </c>
      <c r="F57" s="1" t="str">
        <f t="shared" ca="1" si="5"/>
        <v>Favorable</v>
      </c>
    </row>
    <row r="58" spans="1:6" x14ac:dyDescent="0.25">
      <c r="A58" s="1">
        <f t="shared" si="6"/>
        <v>57</v>
      </c>
      <c r="B58" s="1">
        <f t="shared" ca="1" si="1"/>
        <v>30</v>
      </c>
      <c r="C58" s="1">
        <f t="shared" ca="1" si="2"/>
        <v>0</v>
      </c>
      <c r="D58" s="1" t="str">
        <f t="shared" ca="1" si="3"/>
        <v>Homme</v>
      </c>
      <c r="E58" s="1">
        <f t="shared" ca="1" si="4"/>
        <v>1</v>
      </c>
      <c r="F58" s="1" t="str">
        <f t="shared" ca="1" si="5"/>
        <v>Favorable</v>
      </c>
    </row>
    <row r="59" spans="1:6" x14ac:dyDescent="0.25">
      <c r="A59" s="1">
        <f t="shared" si="6"/>
        <v>58</v>
      </c>
      <c r="B59" s="1">
        <f t="shared" ca="1" si="1"/>
        <v>33</v>
      </c>
      <c r="C59" s="1">
        <f t="shared" ca="1" si="2"/>
        <v>0</v>
      </c>
      <c r="D59" s="1" t="str">
        <f t="shared" ca="1" si="3"/>
        <v>Homme</v>
      </c>
      <c r="E59" s="1">
        <f t="shared" ca="1" si="4"/>
        <v>2</v>
      </c>
      <c r="F59" s="1" t="str">
        <f t="shared" ca="1" si="5"/>
        <v>Défavorable</v>
      </c>
    </row>
    <row r="60" spans="1:6" x14ac:dyDescent="0.25">
      <c r="A60" s="1">
        <f t="shared" si="6"/>
        <v>59</v>
      </c>
      <c r="B60" s="1">
        <f t="shared" ca="1" si="1"/>
        <v>50</v>
      </c>
      <c r="C60" s="1">
        <f t="shared" ca="1" si="2"/>
        <v>1</v>
      </c>
      <c r="D60" s="1" t="str">
        <f t="shared" ca="1" si="3"/>
        <v>Femme</v>
      </c>
      <c r="E60" s="1">
        <f t="shared" ca="1" si="4"/>
        <v>2</v>
      </c>
      <c r="F60" s="1" t="str">
        <f t="shared" ca="1" si="5"/>
        <v>Défavorable</v>
      </c>
    </row>
    <row r="61" spans="1:6" x14ac:dyDescent="0.25">
      <c r="A61" s="1">
        <f t="shared" si="6"/>
        <v>60</v>
      </c>
      <c r="B61" s="1">
        <f t="shared" ca="1" si="1"/>
        <v>49</v>
      </c>
      <c r="C61" s="1">
        <f t="shared" ca="1" si="2"/>
        <v>0</v>
      </c>
      <c r="D61" s="1" t="str">
        <f t="shared" ca="1" si="3"/>
        <v>Homme</v>
      </c>
      <c r="E61" s="1">
        <f t="shared" ca="1" si="4"/>
        <v>3</v>
      </c>
      <c r="F61" s="1" t="str">
        <f t="shared" ca="1" si="5"/>
        <v>Ne se prononce pas</v>
      </c>
    </row>
    <row r="62" spans="1:6" x14ac:dyDescent="0.25">
      <c r="A62" s="1">
        <f t="shared" si="6"/>
        <v>61</v>
      </c>
      <c r="B62" s="1">
        <f t="shared" ca="1" si="1"/>
        <v>38</v>
      </c>
      <c r="C62" s="1">
        <f t="shared" ca="1" si="2"/>
        <v>1</v>
      </c>
      <c r="D62" s="1" t="str">
        <f t="shared" ca="1" si="3"/>
        <v>Femme</v>
      </c>
      <c r="E62" s="1">
        <f t="shared" ca="1" si="4"/>
        <v>3</v>
      </c>
      <c r="F62" s="1" t="str">
        <f t="shared" ca="1" si="5"/>
        <v>Ne se prononce pas</v>
      </c>
    </row>
    <row r="63" spans="1:6" x14ac:dyDescent="0.25">
      <c r="A63" s="1">
        <f t="shared" si="6"/>
        <v>62</v>
      </c>
      <c r="B63" s="1">
        <f t="shared" ca="1" si="1"/>
        <v>42</v>
      </c>
      <c r="C63" s="1">
        <f t="shared" ca="1" si="2"/>
        <v>0</v>
      </c>
      <c r="D63" s="1" t="str">
        <f t="shared" ca="1" si="3"/>
        <v>Homme</v>
      </c>
      <c r="E63" s="1">
        <f t="shared" ca="1" si="4"/>
        <v>1</v>
      </c>
      <c r="F63" s="1" t="str">
        <f t="shared" ca="1" si="5"/>
        <v>Favorable</v>
      </c>
    </row>
    <row r="64" spans="1:6" x14ac:dyDescent="0.25">
      <c r="A64" s="1">
        <f t="shared" si="6"/>
        <v>63</v>
      </c>
      <c r="B64" s="1">
        <f t="shared" ca="1" si="1"/>
        <v>45</v>
      </c>
      <c r="C64" s="1">
        <f t="shared" ca="1" si="2"/>
        <v>1</v>
      </c>
      <c r="D64" s="1" t="str">
        <f t="shared" ca="1" si="3"/>
        <v>Femme</v>
      </c>
      <c r="E64" s="1">
        <f t="shared" ca="1" si="4"/>
        <v>3</v>
      </c>
      <c r="F64" s="1" t="str">
        <f t="shared" ca="1" si="5"/>
        <v>Ne se prononce pas</v>
      </c>
    </row>
    <row r="65" spans="1:6" x14ac:dyDescent="0.25">
      <c r="A65" s="1">
        <f t="shared" si="6"/>
        <v>64</v>
      </c>
      <c r="B65" s="1">
        <f t="shared" ca="1" si="1"/>
        <v>43</v>
      </c>
      <c r="C65" s="1">
        <f t="shared" ca="1" si="2"/>
        <v>0</v>
      </c>
      <c r="D65" s="1" t="str">
        <f t="shared" ca="1" si="3"/>
        <v>Homme</v>
      </c>
      <c r="E65" s="1">
        <f t="shared" ca="1" si="4"/>
        <v>3</v>
      </c>
      <c r="F65" s="1" t="str">
        <f t="shared" ca="1" si="5"/>
        <v>Ne se prononce pas</v>
      </c>
    </row>
    <row r="66" spans="1:6" x14ac:dyDescent="0.25">
      <c r="A66" s="1">
        <f t="shared" si="6"/>
        <v>65</v>
      </c>
      <c r="B66" s="1">
        <f t="shared" ca="1" si="1"/>
        <v>38</v>
      </c>
      <c r="C66" s="1">
        <f t="shared" ca="1" si="2"/>
        <v>0</v>
      </c>
      <c r="D66" s="1" t="str">
        <f t="shared" ca="1" si="3"/>
        <v>Homme</v>
      </c>
      <c r="E66" s="1">
        <f t="shared" ca="1" si="4"/>
        <v>2</v>
      </c>
      <c r="F66" s="1" t="str">
        <f t="shared" ca="1" si="5"/>
        <v>Défavorable</v>
      </c>
    </row>
    <row r="67" spans="1:6" x14ac:dyDescent="0.25">
      <c r="A67" s="1">
        <f t="shared" si="6"/>
        <v>66</v>
      </c>
      <c r="B67" s="1">
        <f t="shared" ca="1" si="1"/>
        <v>41</v>
      </c>
      <c r="C67" s="1">
        <f t="shared" ca="1" si="2"/>
        <v>0</v>
      </c>
      <c r="D67" s="1" t="str">
        <f t="shared" ca="1" si="3"/>
        <v>Homme</v>
      </c>
      <c r="E67" s="1">
        <f t="shared" ca="1" si="4"/>
        <v>1</v>
      </c>
      <c r="F67" s="1" t="str">
        <f t="shared" ca="1" si="5"/>
        <v>Favorable</v>
      </c>
    </row>
    <row r="68" spans="1:6" x14ac:dyDescent="0.25">
      <c r="A68" s="1">
        <f t="shared" si="6"/>
        <v>67</v>
      </c>
      <c r="B68" s="1">
        <f t="shared" ca="1" si="1"/>
        <v>41</v>
      </c>
      <c r="C68" s="1">
        <f t="shared" ca="1" si="2"/>
        <v>1</v>
      </c>
      <c r="D68" s="1" t="str">
        <f t="shared" ca="1" si="3"/>
        <v>Femme</v>
      </c>
      <c r="E68" s="1">
        <f t="shared" ca="1" si="4"/>
        <v>3</v>
      </c>
      <c r="F68" s="1" t="str">
        <f t="shared" ca="1" si="5"/>
        <v>Ne se prononce pas</v>
      </c>
    </row>
    <row r="69" spans="1:6" x14ac:dyDescent="0.25">
      <c r="A69" s="1">
        <f t="shared" si="6"/>
        <v>68</v>
      </c>
      <c r="B69" s="1">
        <f t="shared" ca="1" si="1"/>
        <v>48</v>
      </c>
      <c r="C69" s="1">
        <f t="shared" ca="1" si="2"/>
        <v>1</v>
      </c>
      <c r="D69" s="1" t="str">
        <f t="shared" ca="1" si="3"/>
        <v>Femme</v>
      </c>
      <c r="E69" s="1">
        <f t="shared" ca="1" si="4"/>
        <v>3</v>
      </c>
      <c r="F69" s="1" t="str">
        <f t="shared" ca="1" si="5"/>
        <v>Ne se prononce pas</v>
      </c>
    </row>
    <row r="70" spans="1:6" x14ac:dyDescent="0.25">
      <c r="A70" s="1">
        <f t="shared" si="6"/>
        <v>69</v>
      </c>
      <c r="B70" s="1">
        <f t="shared" ca="1" si="1"/>
        <v>36</v>
      </c>
      <c r="C70" s="1">
        <f t="shared" ca="1" si="2"/>
        <v>1</v>
      </c>
      <c r="D70" s="1" t="str">
        <f t="shared" ca="1" si="3"/>
        <v>Femme</v>
      </c>
      <c r="E70" s="1">
        <f t="shared" ca="1" si="4"/>
        <v>1</v>
      </c>
      <c r="F70" s="1" t="str">
        <f t="shared" ca="1" si="5"/>
        <v>Favorable</v>
      </c>
    </row>
    <row r="71" spans="1:6" x14ac:dyDescent="0.25">
      <c r="A71" s="1">
        <f t="shared" si="6"/>
        <v>70</v>
      </c>
      <c r="B71" s="1">
        <f t="shared" ref="B71:B134" ca="1" si="7">RANDBETWEEN(30,50)</f>
        <v>48</v>
      </c>
      <c r="C71" s="1">
        <f t="shared" ref="C71:C134" ca="1" si="8">RANDBETWEEN(0,1)</f>
        <v>1</v>
      </c>
      <c r="D71" s="1" t="str">
        <f t="shared" ref="D71:D134" ca="1" si="9">IF(C71=0, "Homme", "Femme")</f>
        <v>Femme</v>
      </c>
      <c r="E71" s="1">
        <f t="shared" ref="E71:E134" ca="1" si="10">RANDBETWEEN(1,3)</f>
        <v>1</v>
      </c>
      <c r="F71" s="1" t="str">
        <f t="shared" ref="F71:F134" ca="1" si="11">IF(E71=1, "Favorable", IF(E71=2, "Défavorable", "Ne se prononce pas"))</f>
        <v>Favorable</v>
      </c>
    </row>
    <row r="72" spans="1:6" x14ac:dyDescent="0.25">
      <c r="A72" s="1">
        <f t="shared" si="6"/>
        <v>71</v>
      </c>
      <c r="B72" s="1">
        <f t="shared" ca="1" si="7"/>
        <v>32</v>
      </c>
      <c r="C72" s="1">
        <f t="shared" ca="1" si="8"/>
        <v>1</v>
      </c>
      <c r="D72" s="1" t="str">
        <f t="shared" ca="1" si="9"/>
        <v>Femme</v>
      </c>
      <c r="E72" s="1">
        <f t="shared" ca="1" si="10"/>
        <v>3</v>
      </c>
      <c r="F72" s="1" t="str">
        <f t="shared" ca="1" si="11"/>
        <v>Ne se prononce pas</v>
      </c>
    </row>
    <row r="73" spans="1:6" x14ac:dyDescent="0.25">
      <c r="A73" s="1">
        <f t="shared" si="6"/>
        <v>72</v>
      </c>
      <c r="B73" s="1">
        <f t="shared" ca="1" si="7"/>
        <v>36</v>
      </c>
      <c r="C73" s="1">
        <f t="shared" ca="1" si="8"/>
        <v>1</v>
      </c>
      <c r="D73" s="1" t="str">
        <f t="shared" ca="1" si="9"/>
        <v>Femme</v>
      </c>
      <c r="E73" s="1">
        <f t="shared" ca="1" si="10"/>
        <v>3</v>
      </c>
      <c r="F73" s="1" t="str">
        <f t="shared" ca="1" si="11"/>
        <v>Ne se prononce pas</v>
      </c>
    </row>
    <row r="74" spans="1:6" x14ac:dyDescent="0.25">
      <c r="A74" s="1">
        <f t="shared" si="6"/>
        <v>73</v>
      </c>
      <c r="B74" s="1">
        <f t="shared" ca="1" si="7"/>
        <v>44</v>
      </c>
      <c r="C74" s="1">
        <f t="shared" ca="1" si="8"/>
        <v>1</v>
      </c>
      <c r="D74" s="1" t="str">
        <f t="shared" ca="1" si="9"/>
        <v>Femme</v>
      </c>
      <c r="E74" s="1">
        <f t="shared" ca="1" si="10"/>
        <v>2</v>
      </c>
      <c r="F74" s="1" t="str">
        <f t="shared" ca="1" si="11"/>
        <v>Défavorable</v>
      </c>
    </row>
    <row r="75" spans="1:6" x14ac:dyDescent="0.25">
      <c r="A75" s="1">
        <f t="shared" si="6"/>
        <v>74</v>
      </c>
      <c r="B75" s="1">
        <f t="shared" ca="1" si="7"/>
        <v>30</v>
      </c>
      <c r="C75" s="1">
        <f t="shared" ca="1" si="8"/>
        <v>0</v>
      </c>
      <c r="D75" s="1" t="str">
        <f t="shared" ca="1" si="9"/>
        <v>Homme</v>
      </c>
      <c r="E75" s="1">
        <f t="shared" ca="1" si="10"/>
        <v>3</v>
      </c>
      <c r="F75" s="1" t="str">
        <f t="shared" ca="1" si="11"/>
        <v>Ne se prononce pas</v>
      </c>
    </row>
    <row r="76" spans="1:6" x14ac:dyDescent="0.25">
      <c r="A76" s="1">
        <f t="shared" si="6"/>
        <v>75</v>
      </c>
      <c r="B76" s="1">
        <f t="shared" ca="1" si="7"/>
        <v>49</v>
      </c>
      <c r="C76" s="1">
        <f t="shared" ca="1" si="8"/>
        <v>0</v>
      </c>
      <c r="D76" s="1" t="str">
        <f t="shared" ca="1" si="9"/>
        <v>Homme</v>
      </c>
      <c r="E76" s="1">
        <f t="shared" ca="1" si="10"/>
        <v>2</v>
      </c>
      <c r="F76" s="1" t="str">
        <f t="shared" ca="1" si="11"/>
        <v>Défavorable</v>
      </c>
    </row>
    <row r="77" spans="1:6" x14ac:dyDescent="0.25">
      <c r="A77" s="1">
        <f t="shared" si="6"/>
        <v>76</v>
      </c>
      <c r="B77" s="1">
        <f t="shared" ca="1" si="7"/>
        <v>30</v>
      </c>
      <c r="C77" s="1">
        <f t="shared" ca="1" si="8"/>
        <v>0</v>
      </c>
      <c r="D77" s="1" t="str">
        <f t="shared" ca="1" si="9"/>
        <v>Homme</v>
      </c>
      <c r="E77" s="1">
        <f t="shared" ca="1" si="10"/>
        <v>3</v>
      </c>
      <c r="F77" s="1" t="str">
        <f t="shared" ca="1" si="11"/>
        <v>Ne se prononce pas</v>
      </c>
    </row>
    <row r="78" spans="1:6" x14ac:dyDescent="0.25">
      <c r="A78" s="1">
        <f t="shared" si="6"/>
        <v>77</v>
      </c>
      <c r="B78" s="1">
        <f t="shared" ca="1" si="7"/>
        <v>34</v>
      </c>
      <c r="C78" s="1">
        <f t="shared" ca="1" si="8"/>
        <v>0</v>
      </c>
      <c r="D78" s="1" t="str">
        <f t="shared" ca="1" si="9"/>
        <v>Homme</v>
      </c>
      <c r="E78" s="1">
        <f t="shared" ca="1" si="10"/>
        <v>1</v>
      </c>
      <c r="F78" s="1" t="str">
        <f t="shared" ca="1" si="11"/>
        <v>Favorable</v>
      </c>
    </row>
    <row r="79" spans="1:6" x14ac:dyDescent="0.25">
      <c r="A79" s="1">
        <f t="shared" si="6"/>
        <v>78</v>
      </c>
      <c r="B79" s="1">
        <f t="shared" ca="1" si="7"/>
        <v>44</v>
      </c>
      <c r="C79" s="1">
        <f t="shared" ca="1" si="8"/>
        <v>1</v>
      </c>
      <c r="D79" s="1" t="str">
        <f t="shared" ca="1" si="9"/>
        <v>Femme</v>
      </c>
      <c r="E79" s="1">
        <f t="shared" ca="1" si="10"/>
        <v>1</v>
      </c>
      <c r="F79" s="1" t="str">
        <f t="shared" ca="1" si="11"/>
        <v>Favorable</v>
      </c>
    </row>
    <row r="80" spans="1:6" x14ac:dyDescent="0.25">
      <c r="A80" s="1">
        <f t="shared" ref="A80:A143" si="12">A79+1</f>
        <v>79</v>
      </c>
      <c r="B80" s="1">
        <f t="shared" ca="1" si="7"/>
        <v>50</v>
      </c>
      <c r="C80" s="1">
        <f t="shared" ca="1" si="8"/>
        <v>0</v>
      </c>
      <c r="D80" s="1" t="str">
        <f t="shared" ca="1" si="9"/>
        <v>Homme</v>
      </c>
      <c r="E80" s="1">
        <f t="shared" ca="1" si="10"/>
        <v>3</v>
      </c>
      <c r="F80" s="1" t="str">
        <f t="shared" ca="1" si="11"/>
        <v>Ne se prononce pas</v>
      </c>
    </row>
    <row r="81" spans="1:6" x14ac:dyDescent="0.25">
      <c r="A81" s="1">
        <f t="shared" si="12"/>
        <v>80</v>
      </c>
      <c r="B81" s="1">
        <f t="shared" ca="1" si="7"/>
        <v>40</v>
      </c>
      <c r="C81" s="1">
        <f t="shared" ca="1" si="8"/>
        <v>0</v>
      </c>
      <c r="D81" s="1" t="str">
        <f t="shared" ca="1" si="9"/>
        <v>Homme</v>
      </c>
      <c r="E81" s="1">
        <f t="shared" ca="1" si="10"/>
        <v>1</v>
      </c>
      <c r="F81" s="1" t="str">
        <f t="shared" ca="1" si="11"/>
        <v>Favorable</v>
      </c>
    </row>
    <row r="82" spans="1:6" x14ac:dyDescent="0.25">
      <c r="A82" s="1">
        <f t="shared" si="12"/>
        <v>81</v>
      </c>
      <c r="B82" s="1">
        <f t="shared" ca="1" si="7"/>
        <v>49</v>
      </c>
      <c r="C82" s="1">
        <f t="shared" ca="1" si="8"/>
        <v>0</v>
      </c>
      <c r="D82" s="1" t="str">
        <f t="shared" ca="1" si="9"/>
        <v>Homme</v>
      </c>
      <c r="E82" s="1">
        <f t="shared" ca="1" si="10"/>
        <v>1</v>
      </c>
      <c r="F82" s="1" t="str">
        <f t="shared" ca="1" si="11"/>
        <v>Favorable</v>
      </c>
    </row>
    <row r="83" spans="1:6" x14ac:dyDescent="0.25">
      <c r="A83" s="1">
        <f t="shared" si="12"/>
        <v>82</v>
      </c>
      <c r="B83" s="1">
        <f t="shared" ca="1" si="7"/>
        <v>50</v>
      </c>
      <c r="C83" s="1">
        <f t="shared" ca="1" si="8"/>
        <v>1</v>
      </c>
      <c r="D83" s="1" t="str">
        <f t="shared" ca="1" si="9"/>
        <v>Femme</v>
      </c>
      <c r="E83" s="1">
        <f t="shared" ca="1" si="10"/>
        <v>2</v>
      </c>
      <c r="F83" s="1" t="str">
        <f t="shared" ca="1" si="11"/>
        <v>Défavorable</v>
      </c>
    </row>
    <row r="84" spans="1:6" x14ac:dyDescent="0.25">
      <c r="A84" s="1">
        <f t="shared" si="12"/>
        <v>83</v>
      </c>
      <c r="B84" s="1">
        <f t="shared" ca="1" si="7"/>
        <v>33</v>
      </c>
      <c r="C84" s="1">
        <f t="shared" ca="1" si="8"/>
        <v>0</v>
      </c>
      <c r="D84" s="1" t="str">
        <f t="shared" ca="1" si="9"/>
        <v>Homme</v>
      </c>
      <c r="E84" s="1">
        <f t="shared" ca="1" si="10"/>
        <v>2</v>
      </c>
      <c r="F84" s="1" t="str">
        <f t="shared" ca="1" si="11"/>
        <v>Défavorable</v>
      </c>
    </row>
    <row r="85" spans="1:6" x14ac:dyDescent="0.25">
      <c r="A85" s="1">
        <f t="shared" si="12"/>
        <v>84</v>
      </c>
      <c r="B85" s="1">
        <f t="shared" ca="1" si="7"/>
        <v>42</v>
      </c>
      <c r="C85" s="1">
        <f t="shared" ca="1" si="8"/>
        <v>0</v>
      </c>
      <c r="D85" s="1" t="str">
        <f t="shared" ca="1" si="9"/>
        <v>Homme</v>
      </c>
      <c r="E85" s="1">
        <f t="shared" ca="1" si="10"/>
        <v>1</v>
      </c>
      <c r="F85" s="1" t="str">
        <f t="shared" ca="1" si="11"/>
        <v>Favorable</v>
      </c>
    </row>
    <row r="86" spans="1:6" x14ac:dyDescent="0.25">
      <c r="A86" s="1">
        <f t="shared" si="12"/>
        <v>85</v>
      </c>
      <c r="B86" s="1">
        <f t="shared" ca="1" si="7"/>
        <v>41</v>
      </c>
      <c r="C86" s="1">
        <f t="shared" ca="1" si="8"/>
        <v>0</v>
      </c>
      <c r="D86" s="1" t="str">
        <f t="shared" ca="1" si="9"/>
        <v>Homme</v>
      </c>
      <c r="E86" s="1">
        <f t="shared" ca="1" si="10"/>
        <v>2</v>
      </c>
      <c r="F86" s="1" t="str">
        <f t="shared" ca="1" si="11"/>
        <v>Défavorable</v>
      </c>
    </row>
    <row r="87" spans="1:6" x14ac:dyDescent="0.25">
      <c r="A87" s="1">
        <f t="shared" si="12"/>
        <v>86</v>
      </c>
      <c r="B87" s="1">
        <f t="shared" ca="1" si="7"/>
        <v>38</v>
      </c>
      <c r="C87" s="1">
        <f t="shared" ca="1" si="8"/>
        <v>1</v>
      </c>
      <c r="D87" s="1" t="str">
        <f t="shared" ca="1" si="9"/>
        <v>Femme</v>
      </c>
      <c r="E87" s="1">
        <f t="shared" ca="1" si="10"/>
        <v>3</v>
      </c>
      <c r="F87" s="1" t="str">
        <f t="shared" ca="1" si="11"/>
        <v>Ne se prononce pas</v>
      </c>
    </row>
    <row r="88" spans="1:6" x14ac:dyDescent="0.25">
      <c r="A88" s="1">
        <f t="shared" si="12"/>
        <v>87</v>
      </c>
      <c r="B88" s="1">
        <f t="shared" ca="1" si="7"/>
        <v>41</v>
      </c>
      <c r="C88" s="1">
        <f t="shared" ca="1" si="8"/>
        <v>0</v>
      </c>
      <c r="D88" s="1" t="str">
        <f t="shared" ca="1" si="9"/>
        <v>Homme</v>
      </c>
      <c r="E88" s="1">
        <f t="shared" ca="1" si="10"/>
        <v>1</v>
      </c>
      <c r="F88" s="1" t="str">
        <f t="shared" ca="1" si="11"/>
        <v>Favorable</v>
      </c>
    </row>
    <row r="89" spans="1:6" x14ac:dyDescent="0.25">
      <c r="A89" s="1">
        <f t="shared" si="12"/>
        <v>88</v>
      </c>
      <c r="B89" s="1">
        <f t="shared" ca="1" si="7"/>
        <v>33</v>
      </c>
      <c r="C89" s="1">
        <f t="shared" ca="1" si="8"/>
        <v>0</v>
      </c>
      <c r="D89" s="1" t="str">
        <f t="shared" ca="1" si="9"/>
        <v>Homme</v>
      </c>
      <c r="E89" s="1">
        <f t="shared" ca="1" si="10"/>
        <v>2</v>
      </c>
      <c r="F89" s="1" t="str">
        <f t="shared" ca="1" si="11"/>
        <v>Défavorable</v>
      </c>
    </row>
    <row r="90" spans="1:6" x14ac:dyDescent="0.25">
      <c r="A90" s="1">
        <f t="shared" si="12"/>
        <v>89</v>
      </c>
      <c r="B90" s="1">
        <f t="shared" ca="1" si="7"/>
        <v>43</v>
      </c>
      <c r="C90" s="1">
        <f t="shared" ca="1" si="8"/>
        <v>0</v>
      </c>
      <c r="D90" s="1" t="str">
        <f t="shared" ca="1" si="9"/>
        <v>Homme</v>
      </c>
      <c r="E90" s="1">
        <f t="shared" ca="1" si="10"/>
        <v>3</v>
      </c>
      <c r="F90" s="1" t="str">
        <f t="shared" ca="1" si="11"/>
        <v>Ne se prononce pas</v>
      </c>
    </row>
    <row r="91" spans="1:6" x14ac:dyDescent="0.25">
      <c r="A91" s="1">
        <f t="shared" si="12"/>
        <v>90</v>
      </c>
      <c r="B91" s="1">
        <f t="shared" ca="1" si="7"/>
        <v>44</v>
      </c>
      <c r="C91" s="1">
        <f t="shared" ca="1" si="8"/>
        <v>0</v>
      </c>
      <c r="D91" s="1" t="str">
        <f t="shared" ca="1" si="9"/>
        <v>Homme</v>
      </c>
      <c r="E91" s="1">
        <f t="shared" ca="1" si="10"/>
        <v>3</v>
      </c>
      <c r="F91" s="1" t="str">
        <f t="shared" ca="1" si="11"/>
        <v>Ne se prononce pas</v>
      </c>
    </row>
    <row r="92" spans="1:6" x14ac:dyDescent="0.25">
      <c r="A92" s="1">
        <f t="shared" si="12"/>
        <v>91</v>
      </c>
      <c r="B92" s="1">
        <f t="shared" ca="1" si="7"/>
        <v>42</v>
      </c>
      <c r="C92" s="1">
        <f t="shared" ca="1" si="8"/>
        <v>1</v>
      </c>
      <c r="D92" s="1" t="str">
        <f t="shared" ca="1" si="9"/>
        <v>Femme</v>
      </c>
      <c r="E92" s="1">
        <f t="shared" ca="1" si="10"/>
        <v>2</v>
      </c>
      <c r="F92" s="1" t="str">
        <f t="shared" ca="1" si="11"/>
        <v>Défavorable</v>
      </c>
    </row>
    <row r="93" spans="1:6" x14ac:dyDescent="0.25">
      <c r="A93" s="1">
        <f t="shared" si="12"/>
        <v>92</v>
      </c>
      <c r="B93" s="1">
        <f t="shared" ca="1" si="7"/>
        <v>36</v>
      </c>
      <c r="C93" s="1">
        <f t="shared" ca="1" si="8"/>
        <v>1</v>
      </c>
      <c r="D93" s="1" t="str">
        <f t="shared" ca="1" si="9"/>
        <v>Femme</v>
      </c>
      <c r="E93" s="1">
        <f t="shared" ca="1" si="10"/>
        <v>2</v>
      </c>
      <c r="F93" s="1" t="str">
        <f t="shared" ca="1" si="11"/>
        <v>Défavorable</v>
      </c>
    </row>
    <row r="94" spans="1:6" x14ac:dyDescent="0.25">
      <c r="A94" s="1">
        <f t="shared" si="12"/>
        <v>93</v>
      </c>
      <c r="B94" s="1">
        <f t="shared" ca="1" si="7"/>
        <v>48</v>
      </c>
      <c r="C94" s="1">
        <f t="shared" ca="1" si="8"/>
        <v>1</v>
      </c>
      <c r="D94" s="1" t="str">
        <f t="shared" ca="1" si="9"/>
        <v>Femme</v>
      </c>
      <c r="E94" s="1">
        <f t="shared" ca="1" si="10"/>
        <v>2</v>
      </c>
      <c r="F94" s="1" t="str">
        <f t="shared" ca="1" si="11"/>
        <v>Défavorable</v>
      </c>
    </row>
    <row r="95" spans="1:6" x14ac:dyDescent="0.25">
      <c r="A95" s="1">
        <f t="shared" si="12"/>
        <v>94</v>
      </c>
      <c r="B95" s="1">
        <f t="shared" ca="1" si="7"/>
        <v>31</v>
      </c>
      <c r="C95" s="1">
        <f t="shared" ca="1" si="8"/>
        <v>1</v>
      </c>
      <c r="D95" s="1" t="str">
        <f t="shared" ca="1" si="9"/>
        <v>Femme</v>
      </c>
      <c r="E95" s="1">
        <f t="shared" ca="1" si="10"/>
        <v>2</v>
      </c>
      <c r="F95" s="1" t="str">
        <f t="shared" ca="1" si="11"/>
        <v>Défavorable</v>
      </c>
    </row>
    <row r="96" spans="1:6" x14ac:dyDescent="0.25">
      <c r="A96" s="1">
        <f t="shared" si="12"/>
        <v>95</v>
      </c>
      <c r="B96" s="1">
        <f t="shared" ca="1" si="7"/>
        <v>34</v>
      </c>
      <c r="C96" s="1">
        <f t="shared" ca="1" si="8"/>
        <v>1</v>
      </c>
      <c r="D96" s="1" t="str">
        <f t="shared" ca="1" si="9"/>
        <v>Femme</v>
      </c>
      <c r="E96" s="1">
        <f t="shared" ca="1" si="10"/>
        <v>3</v>
      </c>
      <c r="F96" s="1" t="str">
        <f t="shared" ca="1" si="11"/>
        <v>Ne se prononce pas</v>
      </c>
    </row>
    <row r="97" spans="1:6" x14ac:dyDescent="0.25">
      <c r="A97" s="1">
        <f t="shared" si="12"/>
        <v>96</v>
      </c>
      <c r="B97" s="1">
        <f t="shared" ca="1" si="7"/>
        <v>48</v>
      </c>
      <c r="C97" s="1">
        <f t="shared" ca="1" si="8"/>
        <v>1</v>
      </c>
      <c r="D97" s="1" t="str">
        <f t="shared" ca="1" si="9"/>
        <v>Femme</v>
      </c>
      <c r="E97" s="1">
        <f t="shared" ca="1" si="10"/>
        <v>1</v>
      </c>
      <c r="F97" s="1" t="str">
        <f t="shared" ca="1" si="11"/>
        <v>Favorable</v>
      </c>
    </row>
    <row r="98" spans="1:6" x14ac:dyDescent="0.25">
      <c r="A98" s="1">
        <f t="shared" si="12"/>
        <v>97</v>
      </c>
      <c r="B98" s="1">
        <f t="shared" ca="1" si="7"/>
        <v>31</v>
      </c>
      <c r="C98" s="1">
        <f t="shared" ca="1" si="8"/>
        <v>0</v>
      </c>
      <c r="D98" s="1" t="str">
        <f t="shared" ca="1" si="9"/>
        <v>Homme</v>
      </c>
      <c r="E98" s="1">
        <f t="shared" ca="1" si="10"/>
        <v>1</v>
      </c>
      <c r="F98" s="1" t="str">
        <f t="shared" ca="1" si="11"/>
        <v>Favorable</v>
      </c>
    </row>
    <row r="99" spans="1:6" x14ac:dyDescent="0.25">
      <c r="A99" s="1">
        <f t="shared" si="12"/>
        <v>98</v>
      </c>
      <c r="B99" s="1">
        <f t="shared" ca="1" si="7"/>
        <v>41</v>
      </c>
      <c r="C99" s="1">
        <f t="shared" ca="1" si="8"/>
        <v>0</v>
      </c>
      <c r="D99" s="1" t="str">
        <f t="shared" ca="1" si="9"/>
        <v>Homme</v>
      </c>
      <c r="E99" s="1">
        <f t="shared" ca="1" si="10"/>
        <v>2</v>
      </c>
      <c r="F99" s="1" t="str">
        <f t="shared" ca="1" si="11"/>
        <v>Défavorable</v>
      </c>
    </row>
    <row r="100" spans="1:6" x14ac:dyDescent="0.25">
      <c r="A100" s="1">
        <f t="shared" si="12"/>
        <v>99</v>
      </c>
      <c r="B100" s="1">
        <f t="shared" ca="1" si="7"/>
        <v>46</v>
      </c>
      <c r="C100" s="1">
        <f t="shared" ca="1" si="8"/>
        <v>1</v>
      </c>
      <c r="D100" s="1" t="str">
        <f t="shared" ca="1" si="9"/>
        <v>Femme</v>
      </c>
      <c r="E100" s="1">
        <f t="shared" ca="1" si="10"/>
        <v>1</v>
      </c>
      <c r="F100" s="1" t="str">
        <f t="shared" ca="1" si="11"/>
        <v>Favorable</v>
      </c>
    </row>
    <row r="101" spans="1:6" x14ac:dyDescent="0.25">
      <c r="A101" s="1">
        <f t="shared" si="12"/>
        <v>100</v>
      </c>
      <c r="B101" s="1">
        <f t="shared" ca="1" si="7"/>
        <v>38</v>
      </c>
      <c r="C101" s="1">
        <f t="shared" ca="1" si="8"/>
        <v>0</v>
      </c>
      <c r="D101" s="1" t="str">
        <f t="shared" ca="1" si="9"/>
        <v>Homme</v>
      </c>
      <c r="E101" s="1">
        <f t="shared" ca="1" si="10"/>
        <v>3</v>
      </c>
      <c r="F101" s="1" t="str">
        <f t="shared" ca="1" si="11"/>
        <v>Ne se prononce pas</v>
      </c>
    </row>
    <row r="102" spans="1:6" x14ac:dyDescent="0.25">
      <c r="A102" s="1">
        <f t="shared" si="12"/>
        <v>101</v>
      </c>
      <c r="B102" s="1">
        <f t="shared" ca="1" si="7"/>
        <v>34</v>
      </c>
      <c r="C102" s="1">
        <f t="shared" ca="1" si="8"/>
        <v>0</v>
      </c>
      <c r="D102" s="1" t="str">
        <f t="shared" ca="1" si="9"/>
        <v>Homme</v>
      </c>
      <c r="E102" s="1">
        <f t="shared" ca="1" si="10"/>
        <v>1</v>
      </c>
      <c r="F102" s="1" t="str">
        <f t="shared" ca="1" si="11"/>
        <v>Favorable</v>
      </c>
    </row>
    <row r="103" spans="1:6" x14ac:dyDescent="0.25">
      <c r="A103" s="1">
        <f t="shared" si="12"/>
        <v>102</v>
      </c>
      <c r="B103" s="1">
        <f t="shared" ca="1" si="7"/>
        <v>46</v>
      </c>
      <c r="C103" s="1">
        <f t="shared" ca="1" si="8"/>
        <v>1</v>
      </c>
      <c r="D103" s="1" t="str">
        <f t="shared" ca="1" si="9"/>
        <v>Femme</v>
      </c>
      <c r="E103" s="1">
        <f t="shared" ca="1" si="10"/>
        <v>1</v>
      </c>
      <c r="F103" s="1" t="str">
        <f t="shared" ca="1" si="11"/>
        <v>Favorable</v>
      </c>
    </row>
    <row r="104" spans="1:6" x14ac:dyDescent="0.25">
      <c r="A104" s="1">
        <f t="shared" si="12"/>
        <v>103</v>
      </c>
      <c r="B104" s="1">
        <f t="shared" ca="1" si="7"/>
        <v>42</v>
      </c>
      <c r="C104" s="1">
        <f t="shared" ca="1" si="8"/>
        <v>0</v>
      </c>
      <c r="D104" s="1" t="str">
        <f t="shared" ca="1" si="9"/>
        <v>Homme</v>
      </c>
      <c r="E104" s="1">
        <f t="shared" ca="1" si="10"/>
        <v>2</v>
      </c>
      <c r="F104" s="1" t="str">
        <f t="shared" ca="1" si="11"/>
        <v>Défavorable</v>
      </c>
    </row>
    <row r="105" spans="1:6" x14ac:dyDescent="0.25">
      <c r="A105" s="1">
        <f t="shared" si="12"/>
        <v>104</v>
      </c>
      <c r="B105" s="1">
        <f t="shared" ca="1" si="7"/>
        <v>38</v>
      </c>
      <c r="C105" s="1">
        <f t="shared" ca="1" si="8"/>
        <v>1</v>
      </c>
      <c r="D105" s="1" t="str">
        <f t="shared" ca="1" si="9"/>
        <v>Femme</v>
      </c>
      <c r="E105" s="1">
        <f t="shared" ca="1" si="10"/>
        <v>3</v>
      </c>
      <c r="F105" s="1" t="str">
        <f t="shared" ca="1" si="11"/>
        <v>Ne se prononce pas</v>
      </c>
    </row>
    <row r="106" spans="1:6" x14ac:dyDescent="0.25">
      <c r="A106" s="1">
        <f t="shared" si="12"/>
        <v>105</v>
      </c>
      <c r="B106" s="1">
        <f t="shared" ca="1" si="7"/>
        <v>47</v>
      </c>
      <c r="C106" s="1">
        <f t="shared" ca="1" si="8"/>
        <v>1</v>
      </c>
      <c r="D106" s="1" t="str">
        <f t="shared" ca="1" si="9"/>
        <v>Femme</v>
      </c>
      <c r="E106" s="1">
        <f t="shared" ca="1" si="10"/>
        <v>1</v>
      </c>
      <c r="F106" s="1" t="str">
        <f t="shared" ca="1" si="11"/>
        <v>Favorable</v>
      </c>
    </row>
    <row r="107" spans="1:6" x14ac:dyDescent="0.25">
      <c r="A107" s="1">
        <f t="shared" si="12"/>
        <v>106</v>
      </c>
      <c r="B107" s="1">
        <f t="shared" ca="1" si="7"/>
        <v>32</v>
      </c>
      <c r="C107" s="1">
        <f t="shared" ca="1" si="8"/>
        <v>1</v>
      </c>
      <c r="D107" s="1" t="str">
        <f t="shared" ca="1" si="9"/>
        <v>Femme</v>
      </c>
      <c r="E107" s="1">
        <f t="shared" ca="1" si="10"/>
        <v>2</v>
      </c>
      <c r="F107" s="1" t="str">
        <f t="shared" ca="1" si="11"/>
        <v>Défavorable</v>
      </c>
    </row>
    <row r="108" spans="1:6" x14ac:dyDescent="0.25">
      <c r="A108" s="1">
        <f t="shared" si="12"/>
        <v>107</v>
      </c>
      <c r="B108" s="1">
        <f t="shared" ca="1" si="7"/>
        <v>35</v>
      </c>
      <c r="C108" s="1">
        <f t="shared" ca="1" si="8"/>
        <v>1</v>
      </c>
      <c r="D108" s="1" t="str">
        <f t="shared" ca="1" si="9"/>
        <v>Femme</v>
      </c>
      <c r="E108" s="1">
        <f t="shared" ca="1" si="10"/>
        <v>3</v>
      </c>
      <c r="F108" s="1" t="str">
        <f t="shared" ca="1" si="11"/>
        <v>Ne se prononce pas</v>
      </c>
    </row>
    <row r="109" spans="1:6" x14ac:dyDescent="0.25">
      <c r="A109" s="1">
        <f t="shared" si="12"/>
        <v>108</v>
      </c>
      <c r="B109" s="1">
        <f t="shared" ca="1" si="7"/>
        <v>35</v>
      </c>
      <c r="C109" s="1">
        <f t="shared" ca="1" si="8"/>
        <v>0</v>
      </c>
      <c r="D109" s="1" t="str">
        <f t="shared" ca="1" si="9"/>
        <v>Homme</v>
      </c>
      <c r="E109" s="1">
        <f t="shared" ca="1" si="10"/>
        <v>1</v>
      </c>
      <c r="F109" s="1" t="str">
        <f t="shared" ca="1" si="11"/>
        <v>Favorable</v>
      </c>
    </row>
    <row r="110" spans="1:6" x14ac:dyDescent="0.25">
      <c r="A110" s="1">
        <f t="shared" si="12"/>
        <v>109</v>
      </c>
      <c r="B110" s="1">
        <f t="shared" ca="1" si="7"/>
        <v>48</v>
      </c>
      <c r="C110" s="1">
        <f t="shared" ca="1" si="8"/>
        <v>1</v>
      </c>
      <c r="D110" s="1" t="str">
        <f t="shared" ca="1" si="9"/>
        <v>Femme</v>
      </c>
      <c r="E110" s="1">
        <f t="shared" ca="1" si="10"/>
        <v>2</v>
      </c>
      <c r="F110" s="1" t="str">
        <f t="shared" ca="1" si="11"/>
        <v>Défavorable</v>
      </c>
    </row>
    <row r="111" spans="1:6" x14ac:dyDescent="0.25">
      <c r="A111" s="1">
        <f t="shared" si="12"/>
        <v>110</v>
      </c>
      <c r="B111" s="1">
        <f t="shared" ca="1" si="7"/>
        <v>45</v>
      </c>
      <c r="C111" s="1">
        <f t="shared" ca="1" si="8"/>
        <v>0</v>
      </c>
      <c r="D111" s="1" t="str">
        <f t="shared" ca="1" si="9"/>
        <v>Homme</v>
      </c>
      <c r="E111" s="1">
        <f t="shared" ca="1" si="10"/>
        <v>1</v>
      </c>
      <c r="F111" s="1" t="str">
        <f t="shared" ca="1" si="11"/>
        <v>Favorable</v>
      </c>
    </row>
    <row r="112" spans="1:6" x14ac:dyDescent="0.25">
      <c r="A112" s="1">
        <f t="shared" si="12"/>
        <v>111</v>
      </c>
      <c r="B112" s="1">
        <f t="shared" ca="1" si="7"/>
        <v>33</v>
      </c>
      <c r="C112" s="1">
        <f t="shared" ca="1" si="8"/>
        <v>1</v>
      </c>
      <c r="D112" s="1" t="str">
        <f t="shared" ca="1" si="9"/>
        <v>Femme</v>
      </c>
      <c r="E112" s="1">
        <f t="shared" ca="1" si="10"/>
        <v>3</v>
      </c>
      <c r="F112" s="1" t="str">
        <f t="shared" ca="1" si="11"/>
        <v>Ne se prononce pas</v>
      </c>
    </row>
    <row r="113" spans="1:6" x14ac:dyDescent="0.25">
      <c r="A113" s="1">
        <f t="shared" si="12"/>
        <v>112</v>
      </c>
      <c r="B113" s="1">
        <f t="shared" ca="1" si="7"/>
        <v>42</v>
      </c>
      <c r="C113" s="1">
        <f t="shared" ca="1" si="8"/>
        <v>1</v>
      </c>
      <c r="D113" s="1" t="str">
        <f t="shared" ca="1" si="9"/>
        <v>Femme</v>
      </c>
      <c r="E113" s="1">
        <f t="shared" ca="1" si="10"/>
        <v>2</v>
      </c>
      <c r="F113" s="1" t="str">
        <f t="shared" ca="1" si="11"/>
        <v>Défavorable</v>
      </c>
    </row>
    <row r="114" spans="1:6" x14ac:dyDescent="0.25">
      <c r="A114" s="1">
        <f t="shared" si="12"/>
        <v>113</v>
      </c>
      <c r="B114" s="1">
        <f t="shared" ca="1" si="7"/>
        <v>45</v>
      </c>
      <c r="C114" s="1">
        <f t="shared" ca="1" si="8"/>
        <v>0</v>
      </c>
      <c r="D114" s="1" t="str">
        <f t="shared" ca="1" si="9"/>
        <v>Homme</v>
      </c>
      <c r="E114" s="1">
        <f t="shared" ca="1" si="10"/>
        <v>3</v>
      </c>
      <c r="F114" s="1" t="str">
        <f t="shared" ca="1" si="11"/>
        <v>Ne se prononce pas</v>
      </c>
    </row>
    <row r="115" spans="1:6" x14ac:dyDescent="0.25">
      <c r="A115" s="1">
        <f t="shared" si="12"/>
        <v>114</v>
      </c>
      <c r="B115" s="1">
        <f t="shared" ca="1" si="7"/>
        <v>30</v>
      </c>
      <c r="C115" s="1">
        <f t="shared" ca="1" si="8"/>
        <v>0</v>
      </c>
      <c r="D115" s="1" t="str">
        <f t="shared" ca="1" si="9"/>
        <v>Homme</v>
      </c>
      <c r="E115" s="1">
        <f t="shared" ca="1" si="10"/>
        <v>3</v>
      </c>
      <c r="F115" s="1" t="str">
        <f t="shared" ca="1" si="11"/>
        <v>Ne se prononce pas</v>
      </c>
    </row>
    <row r="116" spans="1:6" x14ac:dyDescent="0.25">
      <c r="A116" s="1">
        <f t="shared" si="12"/>
        <v>115</v>
      </c>
      <c r="B116" s="1">
        <f t="shared" ca="1" si="7"/>
        <v>40</v>
      </c>
      <c r="C116" s="1">
        <f t="shared" ca="1" si="8"/>
        <v>0</v>
      </c>
      <c r="D116" s="1" t="str">
        <f t="shared" ca="1" si="9"/>
        <v>Homme</v>
      </c>
      <c r="E116" s="1">
        <f t="shared" ca="1" si="10"/>
        <v>3</v>
      </c>
      <c r="F116" s="1" t="str">
        <f t="shared" ca="1" si="11"/>
        <v>Ne se prononce pas</v>
      </c>
    </row>
    <row r="117" spans="1:6" x14ac:dyDescent="0.25">
      <c r="A117" s="1">
        <f t="shared" si="12"/>
        <v>116</v>
      </c>
      <c r="B117" s="1">
        <f t="shared" ca="1" si="7"/>
        <v>30</v>
      </c>
      <c r="C117" s="1">
        <f t="shared" ca="1" si="8"/>
        <v>0</v>
      </c>
      <c r="D117" s="1" t="str">
        <f t="shared" ca="1" si="9"/>
        <v>Homme</v>
      </c>
      <c r="E117" s="1">
        <f t="shared" ca="1" si="10"/>
        <v>1</v>
      </c>
      <c r="F117" s="1" t="str">
        <f t="shared" ca="1" si="11"/>
        <v>Favorable</v>
      </c>
    </row>
    <row r="118" spans="1:6" x14ac:dyDescent="0.25">
      <c r="A118" s="1">
        <f t="shared" si="12"/>
        <v>117</v>
      </c>
      <c r="B118" s="1">
        <f t="shared" ca="1" si="7"/>
        <v>33</v>
      </c>
      <c r="C118" s="1">
        <f t="shared" ca="1" si="8"/>
        <v>0</v>
      </c>
      <c r="D118" s="1" t="str">
        <f t="shared" ca="1" si="9"/>
        <v>Homme</v>
      </c>
      <c r="E118" s="1">
        <f t="shared" ca="1" si="10"/>
        <v>3</v>
      </c>
      <c r="F118" s="1" t="str">
        <f t="shared" ca="1" si="11"/>
        <v>Ne se prononce pas</v>
      </c>
    </row>
    <row r="119" spans="1:6" x14ac:dyDescent="0.25">
      <c r="A119" s="1">
        <f t="shared" si="12"/>
        <v>118</v>
      </c>
      <c r="B119" s="1">
        <f t="shared" ca="1" si="7"/>
        <v>45</v>
      </c>
      <c r="C119" s="1">
        <f t="shared" ca="1" si="8"/>
        <v>0</v>
      </c>
      <c r="D119" s="1" t="str">
        <f t="shared" ca="1" si="9"/>
        <v>Homme</v>
      </c>
      <c r="E119" s="1">
        <f t="shared" ca="1" si="10"/>
        <v>2</v>
      </c>
      <c r="F119" s="1" t="str">
        <f t="shared" ca="1" si="11"/>
        <v>Défavorable</v>
      </c>
    </row>
    <row r="120" spans="1:6" x14ac:dyDescent="0.25">
      <c r="A120" s="1">
        <f t="shared" si="12"/>
        <v>119</v>
      </c>
      <c r="B120" s="1">
        <f t="shared" ca="1" si="7"/>
        <v>49</v>
      </c>
      <c r="C120" s="1">
        <f t="shared" ca="1" si="8"/>
        <v>1</v>
      </c>
      <c r="D120" s="1" t="str">
        <f t="shared" ca="1" si="9"/>
        <v>Femme</v>
      </c>
      <c r="E120" s="1">
        <f t="shared" ca="1" si="10"/>
        <v>2</v>
      </c>
      <c r="F120" s="1" t="str">
        <f t="shared" ca="1" si="11"/>
        <v>Défavorable</v>
      </c>
    </row>
    <row r="121" spans="1:6" x14ac:dyDescent="0.25">
      <c r="A121" s="1">
        <f t="shared" si="12"/>
        <v>120</v>
      </c>
      <c r="B121" s="1">
        <f t="shared" ca="1" si="7"/>
        <v>35</v>
      </c>
      <c r="C121" s="1">
        <f t="shared" ca="1" si="8"/>
        <v>1</v>
      </c>
      <c r="D121" s="1" t="str">
        <f t="shared" ca="1" si="9"/>
        <v>Femme</v>
      </c>
      <c r="E121" s="1">
        <f t="shared" ca="1" si="10"/>
        <v>3</v>
      </c>
      <c r="F121" s="1" t="str">
        <f t="shared" ca="1" si="11"/>
        <v>Ne se prononce pas</v>
      </c>
    </row>
    <row r="122" spans="1:6" x14ac:dyDescent="0.25">
      <c r="A122" s="1">
        <f t="shared" si="12"/>
        <v>121</v>
      </c>
      <c r="B122" s="1">
        <f t="shared" ca="1" si="7"/>
        <v>43</v>
      </c>
      <c r="C122" s="1">
        <f t="shared" ca="1" si="8"/>
        <v>0</v>
      </c>
      <c r="D122" s="1" t="str">
        <f t="shared" ca="1" si="9"/>
        <v>Homme</v>
      </c>
      <c r="E122" s="1">
        <f t="shared" ca="1" si="10"/>
        <v>3</v>
      </c>
      <c r="F122" s="1" t="str">
        <f t="shared" ca="1" si="11"/>
        <v>Ne se prononce pas</v>
      </c>
    </row>
    <row r="123" spans="1:6" x14ac:dyDescent="0.25">
      <c r="A123" s="1">
        <f t="shared" si="12"/>
        <v>122</v>
      </c>
      <c r="B123" s="1">
        <f t="shared" ca="1" si="7"/>
        <v>33</v>
      </c>
      <c r="C123" s="1">
        <f t="shared" ca="1" si="8"/>
        <v>0</v>
      </c>
      <c r="D123" s="1" t="str">
        <f t="shared" ca="1" si="9"/>
        <v>Homme</v>
      </c>
      <c r="E123" s="1">
        <f t="shared" ca="1" si="10"/>
        <v>3</v>
      </c>
      <c r="F123" s="1" t="str">
        <f t="shared" ca="1" si="11"/>
        <v>Ne se prononce pas</v>
      </c>
    </row>
    <row r="124" spans="1:6" x14ac:dyDescent="0.25">
      <c r="A124" s="1">
        <f t="shared" si="12"/>
        <v>123</v>
      </c>
      <c r="B124" s="1">
        <f t="shared" ca="1" si="7"/>
        <v>41</v>
      </c>
      <c r="C124" s="1">
        <f t="shared" ca="1" si="8"/>
        <v>1</v>
      </c>
      <c r="D124" s="1" t="str">
        <f t="shared" ca="1" si="9"/>
        <v>Femme</v>
      </c>
      <c r="E124" s="1">
        <f t="shared" ca="1" si="10"/>
        <v>1</v>
      </c>
      <c r="F124" s="1" t="str">
        <f t="shared" ca="1" si="11"/>
        <v>Favorable</v>
      </c>
    </row>
    <row r="125" spans="1:6" x14ac:dyDescent="0.25">
      <c r="A125" s="1">
        <f t="shared" si="12"/>
        <v>124</v>
      </c>
      <c r="B125" s="1">
        <f t="shared" ca="1" si="7"/>
        <v>39</v>
      </c>
      <c r="C125" s="1">
        <f t="shared" ca="1" si="8"/>
        <v>1</v>
      </c>
      <c r="D125" s="1" t="str">
        <f t="shared" ca="1" si="9"/>
        <v>Femme</v>
      </c>
      <c r="E125" s="1">
        <f t="shared" ca="1" si="10"/>
        <v>3</v>
      </c>
      <c r="F125" s="1" t="str">
        <f t="shared" ca="1" si="11"/>
        <v>Ne se prononce pas</v>
      </c>
    </row>
    <row r="126" spans="1:6" x14ac:dyDescent="0.25">
      <c r="A126" s="1">
        <f t="shared" si="12"/>
        <v>125</v>
      </c>
      <c r="B126" s="1">
        <f t="shared" ca="1" si="7"/>
        <v>48</v>
      </c>
      <c r="C126" s="1">
        <f t="shared" ca="1" si="8"/>
        <v>0</v>
      </c>
      <c r="D126" s="1" t="str">
        <f t="shared" ca="1" si="9"/>
        <v>Homme</v>
      </c>
      <c r="E126" s="1">
        <f t="shared" ca="1" si="10"/>
        <v>2</v>
      </c>
      <c r="F126" s="1" t="str">
        <f t="shared" ca="1" si="11"/>
        <v>Défavorable</v>
      </c>
    </row>
    <row r="127" spans="1:6" x14ac:dyDescent="0.25">
      <c r="A127" s="1">
        <f t="shared" si="12"/>
        <v>126</v>
      </c>
      <c r="B127" s="1">
        <f t="shared" ca="1" si="7"/>
        <v>31</v>
      </c>
      <c r="C127" s="1">
        <f t="shared" ca="1" si="8"/>
        <v>1</v>
      </c>
      <c r="D127" s="1" t="str">
        <f t="shared" ca="1" si="9"/>
        <v>Femme</v>
      </c>
      <c r="E127" s="1">
        <f t="shared" ca="1" si="10"/>
        <v>2</v>
      </c>
      <c r="F127" s="1" t="str">
        <f t="shared" ca="1" si="11"/>
        <v>Défavorable</v>
      </c>
    </row>
    <row r="128" spans="1:6" x14ac:dyDescent="0.25">
      <c r="A128" s="1">
        <f t="shared" si="12"/>
        <v>127</v>
      </c>
      <c r="B128" s="1">
        <f t="shared" ca="1" si="7"/>
        <v>30</v>
      </c>
      <c r="C128" s="1">
        <f t="shared" ca="1" si="8"/>
        <v>1</v>
      </c>
      <c r="D128" s="1" t="str">
        <f t="shared" ca="1" si="9"/>
        <v>Femme</v>
      </c>
      <c r="E128" s="1">
        <f t="shared" ca="1" si="10"/>
        <v>3</v>
      </c>
      <c r="F128" s="1" t="str">
        <f t="shared" ca="1" si="11"/>
        <v>Ne se prononce pas</v>
      </c>
    </row>
    <row r="129" spans="1:6" x14ac:dyDescent="0.25">
      <c r="A129" s="1">
        <f t="shared" si="12"/>
        <v>128</v>
      </c>
      <c r="B129" s="1">
        <f t="shared" ca="1" si="7"/>
        <v>43</v>
      </c>
      <c r="C129" s="1">
        <f t="shared" ca="1" si="8"/>
        <v>0</v>
      </c>
      <c r="D129" s="1" t="str">
        <f t="shared" ca="1" si="9"/>
        <v>Homme</v>
      </c>
      <c r="E129" s="1">
        <f t="shared" ca="1" si="10"/>
        <v>1</v>
      </c>
      <c r="F129" s="1" t="str">
        <f t="shared" ca="1" si="11"/>
        <v>Favorable</v>
      </c>
    </row>
    <row r="130" spans="1:6" x14ac:dyDescent="0.25">
      <c r="A130" s="1">
        <f t="shared" si="12"/>
        <v>129</v>
      </c>
      <c r="B130" s="1">
        <f t="shared" ca="1" si="7"/>
        <v>49</v>
      </c>
      <c r="C130" s="1">
        <f t="shared" ca="1" si="8"/>
        <v>0</v>
      </c>
      <c r="D130" s="1" t="str">
        <f t="shared" ca="1" si="9"/>
        <v>Homme</v>
      </c>
      <c r="E130" s="1">
        <f t="shared" ca="1" si="10"/>
        <v>3</v>
      </c>
      <c r="F130" s="1" t="str">
        <f t="shared" ca="1" si="11"/>
        <v>Ne se prononce pas</v>
      </c>
    </row>
    <row r="131" spans="1:6" x14ac:dyDescent="0.25">
      <c r="A131" s="1">
        <f t="shared" si="12"/>
        <v>130</v>
      </c>
      <c r="B131" s="1">
        <f t="shared" ca="1" si="7"/>
        <v>44</v>
      </c>
      <c r="C131" s="1">
        <f t="shared" ca="1" si="8"/>
        <v>1</v>
      </c>
      <c r="D131" s="1" t="str">
        <f t="shared" ca="1" si="9"/>
        <v>Femme</v>
      </c>
      <c r="E131" s="1">
        <f t="shared" ca="1" si="10"/>
        <v>1</v>
      </c>
      <c r="F131" s="1" t="str">
        <f t="shared" ca="1" si="11"/>
        <v>Favorable</v>
      </c>
    </row>
    <row r="132" spans="1:6" x14ac:dyDescent="0.25">
      <c r="A132" s="1">
        <f t="shared" si="12"/>
        <v>131</v>
      </c>
      <c r="B132" s="1">
        <f t="shared" ca="1" si="7"/>
        <v>33</v>
      </c>
      <c r="C132" s="1">
        <f t="shared" ca="1" si="8"/>
        <v>1</v>
      </c>
      <c r="D132" s="1" t="str">
        <f t="shared" ca="1" si="9"/>
        <v>Femme</v>
      </c>
      <c r="E132" s="1">
        <f t="shared" ca="1" si="10"/>
        <v>3</v>
      </c>
      <c r="F132" s="1" t="str">
        <f t="shared" ca="1" si="11"/>
        <v>Ne se prononce pas</v>
      </c>
    </row>
    <row r="133" spans="1:6" x14ac:dyDescent="0.25">
      <c r="A133" s="1">
        <f t="shared" si="12"/>
        <v>132</v>
      </c>
      <c r="B133" s="1">
        <f t="shared" ca="1" si="7"/>
        <v>40</v>
      </c>
      <c r="C133" s="1">
        <f t="shared" ca="1" si="8"/>
        <v>1</v>
      </c>
      <c r="D133" s="1" t="str">
        <f t="shared" ca="1" si="9"/>
        <v>Femme</v>
      </c>
      <c r="E133" s="1">
        <f t="shared" ca="1" si="10"/>
        <v>1</v>
      </c>
      <c r="F133" s="1" t="str">
        <f t="shared" ca="1" si="11"/>
        <v>Favorable</v>
      </c>
    </row>
    <row r="134" spans="1:6" x14ac:dyDescent="0.25">
      <c r="A134" s="1">
        <f t="shared" si="12"/>
        <v>133</v>
      </c>
      <c r="B134" s="1">
        <f t="shared" ca="1" si="7"/>
        <v>43</v>
      </c>
      <c r="C134" s="1">
        <f t="shared" ca="1" si="8"/>
        <v>0</v>
      </c>
      <c r="D134" s="1" t="str">
        <f t="shared" ca="1" si="9"/>
        <v>Homme</v>
      </c>
      <c r="E134" s="1">
        <f t="shared" ca="1" si="10"/>
        <v>3</v>
      </c>
      <c r="F134" s="1" t="str">
        <f t="shared" ca="1" si="11"/>
        <v>Ne se prononce pas</v>
      </c>
    </row>
    <row r="135" spans="1:6" x14ac:dyDescent="0.25">
      <c r="A135" s="1">
        <f t="shared" si="12"/>
        <v>134</v>
      </c>
      <c r="B135" s="1">
        <f t="shared" ref="B135:B198" ca="1" si="13">RANDBETWEEN(30,50)</f>
        <v>42</v>
      </c>
      <c r="C135" s="1">
        <f t="shared" ref="C135:C198" ca="1" si="14">RANDBETWEEN(0,1)</f>
        <v>1</v>
      </c>
      <c r="D135" s="1" t="str">
        <f t="shared" ref="D135:D198" ca="1" si="15">IF(C135=0, "Homme", "Femme")</f>
        <v>Femme</v>
      </c>
      <c r="E135" s="1">
        <f t="shared" ref="E135:E198" ca="1" si="16">RANDBETWEEN(1,3)</f>
        <v>1</v>
      </c>
      <c r="F135" s="1" t="str">
        <f t="shared" ref="F135:F198" ca="1" si="17">IF(E135=1, "Favorable", IF(E135=2, "Défavorable", "Ne se prononce pas"))</f>
        <v>Favorable</v>
      </c>
    </row>
    <row r="136" spans="1:6" x14ac:dyDescent="0.25">
      <c r="A136" s="1">
        <f t="shared" si="12"/>
        <v>135</v>
      </c>
      <c r="B136" s="1">
        <f t="shared" ca="1" si="13"/>
        <v>47</v>
      </c>
      <c r="C136" s="1">
        <f t="shared" ca="1" si="14"/>
        <v>1</v>
      </c>
      <c r="D136" s="1" t="str">
        <f t="shared" ca="1" si="15"/>
        <v>Femme</v>
      </c>
      <c r="E136" s="1">
        <f t="shared" ca="1" si="16"/>
        <v>1</v>
      </c>
      <c r="F136" s="1" t="str">
        <f t="shared" ca="1" si="17"/>
        <v>Favorable</v>
      </c>
    </row>
    <row r="137" spans="1:6" x14ac:dyDescent="0.25">
      <c r="A137" s="1">
        <f t="shared" si="12"/>
        <v>136</v>
      </c>
      <c r="B137" s="1">
        <f t="shared" ca="1" si="13"/>
        <v>38</v>
      </c>
      <c r="C137" s="1">
        <f t="shared" ca="1" si="14"/>
        <v>0</v>
      </c>
      <c r="D137" s="1" t="str">
        <f t="shared" ca="1" si="15"/>
        <v>Homme</v>
      </c>
      <c r="E137" s="1">
        <f t="shared" ca="1" si="16"/>
        <v>1</v>
      </c>
      <c r="F137" s="1" t="str">
        <f t="shared" ca="1" si="17"/>
        <v>Favorable</v>
      </c>
    </row>
    <row r="138" spans="1:6" x14ac:dyDescent="0.25">
      <c r="A138" s="1">
        <f t="shared" si="12"/>
        <v>137</v>
      </c>
      <c r="B138" s="1">
        <f t="shared" ca="1" si="13"/>
        <v>37</v>
      </c>
      <c r="C138" s="1">
        <f t="shared" ca="1" si="14"/>
        <v>0</v>
      </c>
      <c r="D138" s="1" t="str">
        <f t="shared" ca="1" si="15"/>
        <v>Homme</v>
      </c>
      <c r="E138" s="1">
        <f t="shared" ca="1" si="16"/>
        <v>3</v>
      </c>
      <c r="F138" s="1" t="str">
        <f t="shared" ca="1" si="17"/>
        <v>Ne se prononce pas</v>
      </c>
    </row>
    <row r="139" spans="1:6" x14ac:dyDescent="0.25">
      <c r="A139" s="1">
        <f t="shared" si="12"/>
        <v>138</v>
      </c>
      <c r="B139" s="1">
        <f t="shared" ca="1" si="13"/>
        <v>39</v>
      </c>
      <c r="C139" s="1">
        <f t="shared" ca="1" si="14"/>
        <v>1</v>
      </c>
      <c r="D139" s="1" t="str">
        <f t="shared" ca="1" si="15"/>
        <v>Femme</v>
      </c>
      <c r="E139" s="1">
        <f t="shared" ca="1" si="16"/>
        <v>2</v>
      </c>
      <c r="F139" s="1" t="str">
        <f t="shared" ca="1" si="17"/>
        <v>Défavorable</v>
      </c>
    </row>
    <row r="140" spans="1:6" x14ac:dyDescent="0.25">
      <c r="A140" s="1">
        <f t="shared" si="12"/>
        <v>139</v>
      </c>
      <c r="B140" s="1">
        <f t="shared" ca="1" si="13"/>
        <v>30</v>
      </c>
      <c r="C140" s="1">
        <f t="shared" ca="1" si="14"/>
        <v>1</v>
      </c>
      <c r="D140" s="1" t="str">
        <f t="shared" ca="1" si="15"/>
        <v>Femme</v>
      </c>
      <c r="E140" s="1">
        <f t="shared" ca="1" si="16"/>
        <v>3</v>
      </c>
      <c r="F140" s="1" t="str">
        <f t="shared" ca="1" si="17"/>
        <v>Ne se prononce pas</v>
      </c>
    </row>
    <row r="141" spans="1:6" x14ac:dyDescent="0.25">
      <c r="A141" s="1">
        <f t="shared" si="12"/>
        <v>140</v>
      </c>
      <c r="B141" s="1">
        <f t="shared" ca="1" si="13"/>
        <v>40</v>
      </c>
      <c r="C141" s="1">
        <f t="shared" ca="1" si="14"/>
        <v>1</v>
      </c>
      <c r="D141" s="1" t="str">
        <f t="shared" ca="1" si="15"/>
        <v>Femme</v>
      </c>
      <c r="E141" s="1">
        <f t="shared" ca="1" si="16"/>
        <v>3</v>
      </c>
      <c r="F141" s="1" t="str">
        <f t="shared" ca="1" si="17"/>
        <v>Ne se prononce pas</v>
      </c>
    </row>
    <row r="142" spans="1:6" x14ac:dyDescent="0.25">
      <c r="A142" s="1">
        <f t="shared" si="12"/>
        <v>141</v>
      </c>
      <c r="B142" s="1">
        <f t="shared" ca="1" si="13"/>
        <v>48</v>
      </c>
      <c r="C142" s="1">
        <f t="shared" ca="1" si="14"/>
        <v>0</v>
      </c>
      <c r="D142" s="1" t="str">
        <f t="shared" ca="1" si="15"/>
        <v>Homme</v>
      </c>
      <c r="E142" s="1">
        <f t="shared" ca="1" si="16"/>
        <v>3</v>
      </c>
      <c r="F142" s="1" t="str">
        <f t="shared" ca="1" si="17"/>
        <v>Ne se prononce pas</v>
      </c>
    </row>
    <row r="143" spans="1:6" x14ac:dyDescent="0.25">
      <c r="A143" s="1">
        <f t="shared" si="12"/>
        <v>142</v>
      </c>
      <c r="B143" s="1">
        <f t="shared" ca="1" si="13"/>
        <v>33</v>
      </c>
      <c r="C143" s="1">
        <f t="shared" ca="1" si="14"/>
        <v>0</v>
      </c>
      <c r="D143" s="1" t="str">
        <f t="shared" ca="1" si="15"/>
        <v>Homme</v>
      </c>
      <c r="E143" s="1">
        <f t="shared" ca="1" si="16"/>
        <v>1</v>
      </c>
      <c r="F143" s="1" t="str">
        <f t="shared" ca="1" si="17"/>
        <v>Favorable</v>
      </c>
    </row>
    <row r="144" spans="1:6" x14ac:dyDescent="0.25">
      <c r="A144" s="1">
        <f t="shared" ref="A144:A207" si="18">A143+1</f>
        <v>143</v>
      </c>
      <c r="B144" s="1">
        <f t="shared" ca="1" si="13"/>
        <v>42</v>
      </c>
      <c r="C144" s="1">
        <f t="shared" ca="1" si="14"/>
        <v>1</v>
      </c>
      <c r="D144" s="1" t="str">
        <f t="shared" ca="1" si="15"/>
        <v>Femme</v>
      </c>
      <c r="E144" s="1">
        <f t="shared" ca="1" si="16"/>
        <v>3</v>
      </c>
      <c r="F144" s="1" t="str">
        <f t="shared" ca="1" si="17"/>
        <v>Ne se prononce pas</v>
      </c>
    </row>
    <row r="145" spans="1:6" x14ac:dyDescent="0.25">
      <c r="A145" s="1">
        <f t="shared" si="18"/>
        <v>144</v>
      </c>
      <c r="B145" s="1">
        <f t="shared" ca="1" si="13"/>
        <v>33</v>
      </c>
      <c r="C145" s="1">
        <f t="shared" ca="1" si="14"/>
        <v>0</v>
      </c>
      <c r="D145" s="1" t="str">
        <f t="shared" ca="1" si="15"/>
        <v>Homme</v>
      </c>
      <c r="E145" s="1">
        <f t="shared" ca="1" si="16"/>
        <v>1</v>
      </c>
      <c r="F145" s="1" t="str">
        <f t="shared" ca="1" si="17"/>
        <v>Favorable</v>
      </c>
    </row>
    <row r="146" spans="1:6" x14ac:dyDescent="0.25">
      <c r="A146" s="1">
        <f t="shared" si="18"/>
        <v>145</v>
      </c>
      <c r="B146" s="1">
        <f t="shared" ca="1" si="13"/>
        <v>48</v>
      </c>
      <c r="C146" s="1">
        <f t="shared" ca="1" si="14"/>
        <v>0</v>
      </c>
      <c r="D146" s="1" t="str">
        <f t="shared" ca="1" si="15"/>
        <v>Homme</v>
      </c>
      <c r="E146" s="1">
        <f t="shared" ca="1" si="16"/>
        <v>1</v>
      </c>
      <c r="F146" s="1" t="str">
        <f t="shared" ca="1" si="17"/>
        <v>Favorable</v>
      </c>
    </row>
    <row r="147" spans="1:6" x14ac:dyDescent="0.25">
      <c r="A147" s="1">
        <f t="shared" si="18"/>
        <v>146</v>
      </c>
      <c r="B147" s="1">
        <f t="shared" ca="1" si="13"/>
        <v>50</v>
      </c>
      <c r="C147" s="1">
        <f t="shared" ca="1" si="14"/>
        <v>1</v>
      </c>
      <c r="D147" s="1" t="str">
        <f t="shared" ca="1" si="15"/>
        <v>Femme</v>
      </c>
      <c r="E147" s="1">
        <f t="shared" ca="1" si="16"/>
        <v>2</v>
      </c>
      <c r="F147" s="1" t="str">
        <f t="shared" ca="1" si="17"/>
        <v>Défavorable</v>
      </c>
    </row>
    <row r="148" spans="1:6" x14ac:dyDescent="0.25">
      <c r="A148" s="1">
        <f t="shared" si="18"/>
        <v>147</v>
      </c>
      <c r="B148" s="1">
        <f t="shared" ca="1" si="13"/>
        <v>39</v>
      </c>
      <c r="C148" s="1">
        <f t="shared" ca="1" si="14"/>
        <v>0</v>
      </c>
      <c r="D148" s="1" t="str">
        <f t="shared" ca="1" si="15"/>
        <v>Homme</v>
      </c>
      <c r="E148" s="1">
        <f t="shared" ca="1" si="16"/>
        <v>1</v>
      </c>
      <c r="F148" s="1" t="str">
        <f t="shared" ca="1" si="17"/>
        <v>Favorable</v>
      </c>
    </row>
    <row r="149" spans="1:6" x14ac:dyDescent="0.25">
      <c r="A149" s="1">
        <f t="shared" si="18"/>
        <v>148</v>
      </c>
      <c r="B149" s="1">
        <f t="shared" ca="1" si="13"/>
        <v>38</v>
      </c>
      <c r="C149" s="1">
        <f t="shared" ca="1" si="14"/>
        <v>1</v>
      </c>
      <c r="D149" s="1" t="str">
        <f t="shared" ca="1" si="15"/>
        <v>Femme</v>
      </c>
      <c r="E149" s="1">
        <f t="shared" ca="1" si="16"/>
        <v>2</v>
      </c>
      <c r="F149" s="1" t="str">
        <f t="shared" ca="1" si="17"/>
        <v>Défavorable</v>
      </c>
    </row>
    <row r="150" spans="1:6" x14ac:dyDescent="0.25">
      <c r="A150" s="1">
        <f t="shared" si="18"/>
        <v>149</v>
      </c>
      <c r="B150" s="1">
        <f t="shared" ca="1" si="13"/>
        <v>31</v>
      </c>
      <c r="C150" s="1">
        <f t="shared" ca="1" si="14"/>
        <v>1</v>
      </c>
      <c r="D150" s="1" t="str">
        <f t="shared" ca="1" si="15"/>
        <v>Femme</v>
      </c>
      <c r="E150" s="1">
        <f t="shared" ca="1" si="16"/>
        <v>1</v>
      </c>
      <c r="F150" s="1" t="str">
        <f t="shared" ca="1" si="17"/>
        <v>Favorable</v>
      </c>
    </row>
    <row r="151" spans="1:6" x14ac:dyDescent="0.25">
      <c r="A151" s="1">
        <f t="shared" si="18"/>
        <v>150</v>
      </c>
      <c r="B151" s="1">
        <f t="shared" ca="1" si="13"/>
        <v>41</v>
      </c>
      <c r="C151" s="1">
        <f t="shared" ca="1" si="14"/>
        <v>0</v>
      </c>
      <c r="D151" s="1" t="str">
        <f t="shared" ca="1" si="15"/>
        <v>Homme</v>
      </c>
      <c r="E151" s="1">
        <f t="shared" ca="1" si="16"/>
        <v>2</v>
      </c>
      <c r="F151" s="1" t="str">
        <f t="shared" ca="1" si="17"/>
        <v>Défavorable</v>
      </c>
    </row>
    <row r="152" spans="1:6" x14ac:dyDescent="0.25">
      <c r="A152" s="1">
        <f t="shared" si="18"/>
        <v>151</v>
      </c>
      <c r="B152" s="1">
        <f t="shared" ca="1" si="13"/>
        <v>32</v>
      </c>
      <c r="C152" s="1">
        <f t="shared" ca="1" si="14"/>
        <v>0</v>
      </c>
      <c r="D152" s="1" t="str">
        <f t="shared" ca="1" si="15"/>
        <v>Homme</v>
      </c>
      <c r="E152" s="1">
        <f t="shared" ca="1" si="16"/>
        <v>1</v>
      </c>
      <c r="F152" s="1" t="str">
        <f t="shared" ca="1" si="17"/>
        <v>Favorable</v>
      </c>
    </row>
    <row r="153" spans="1:6" x14ac:dyDescent="0.25">
      <c r="A153" s="1">
        <f t="shared" si="18"/>
        <v>152</v>
      </c>
      <c r="B153" s="1">
        <f t="shared" ca="1" si="13"/>
        <v>40</v>
      </c>
      <c r="C153" s="1">
        <f t="shared" ca="1" si="14"/>
        <v>0</v>
      </c>
      <c r="D153" s="1" t="str">
        <f t="shared" ca="1" si="15"/>
        <v>Homme</v>
      </c>
      <c r="E153" s="1">
        <f t="shared" ca="1" si="16"/>
        <v>2</v>
      </c>
      <c r="F153" s="1" t="str">
        <f t="shared" ca="1" si="17"/>
        <v>Défavorable</v>
      </c>
    </row>
    <row r="154" spans="1:6" x14ac:dyDescent="0.25">
      <c r="A154" s="1">
        <f t="shared" si="18"/>
        <v>153</v>
      </c>
      <c r="B154" s="1">
        <f t="shared" ca="1" si="13"/>
        <v>38</v>
      </c>
      <c r="C154" s="1">
        <f t="shared" ca="1" si="14"/>
        <v>0</v>
      </c>
      <c r="D154" s="1" t="str">
        <f t="shared" ca="1" si="15"/>
        <v>Homme</v>
      </c>
      <c r="E154" s="1">
        <f t="shared" ca="1" si="16"/>
        <v>2</v>
      </c>
      <c r="F154" s="1" t="str">
        <f t="shared" ca="1" si="17"/>
        <v>Défavorable</v>
      </c>
    </row>
    <row r="155" spans="1:6" x14ac:dyDescent="0.25">
      <c r="A155" s="1">
        <f t="shared" si="18"/>
        <v>154</v>
      </c>
      <c r="B155" s="1">
        <f t="shared" ca="1" si="13"/>
        <v>39</v>
      </c>
      <c r="C155" s="1">
        <f t="shared" ca="1" si="14"/>
        <v>1</v>
      </c>
      <c r="D155" s="1" t="str">
        <f t="shared" ca="1" si="15"/>
        <v>Femme</v>
      </c>
      <c r="E155" s="1">
        <f t="shared" ca="1" si="16"/>
        <v>2</v>
      </c>
      <c r="F155" s="1" t="str">
        <f t="shared" ca="1" si="17"/>
        <v>Défavorable</v>
      </c>
    </row>
    <row r="156" spans="1:6" x14ac:dyDescent="0.25">
      <c r="A156" s="1">
        <f t="shared" si="18"/>
        <v>155</v>
      </c>
      <c r="B156" s="1">
        <f t="shared" ca="1" si="13"/>
        <v>48</v>
      </c>
      <c r="C156" s="1">
        <f t="shared" ca="1" si="14"/>
        <v>1</v>
      </c>
      <c r="D156" s="1" t="str">
        <f t="shared" ca="1" si="15"/>
        <v>Femme</v>
      </c>
      <c r="E156" s="1">
        <f t="shared" ca="1" si="16"/>
        <v>1</v>
      </c>
      <c r="F156" s="1" t="str">
        <f t="shared" ca="1" si="17"/>
        <v>Favorable</v>
      </c>
    </row>
    <row r="157" spans="1:6" x14ac:dyDescent="0.25">
      <c r="A157" s="1">
        <f t="shared" si="18"/>
        <v>156</v>
      </c>
      <c r="B157" s="1">
        <f t="shared" ca="1" si="13"/>
        <v>32</v>
      </c>
      <c r="C157" s="1">
        <f t="shared" ca="1" si="14"/>
        <v>1</v>
      </c>
      <c r="D157" s="1" t="str">
        <f t="shared" ca="1" si="15"/>
        <v>Femme</v>
      </c>
      <c r="E157" s="1">
        <f t="shared" ca="1" si="16"/>
        <v>2</v>
      </c>
      <c r="F157" s="1" t="str">
        <f t="shared" ca="1" si="17"/>
        <v>Défavorable</v>
      </c>
    </row>
    <row r="158" spans="1:6" x14ac:dyDescent="0.25">
      <c r="A158" s="1">
        <f t="shared" si="18"/>
        <v>157</v>
      </c>
      <c r="B158" s="1">
        <f t="shared" ca="1" si="13"/>
        <v>37</v>
      </c>
      <c r="C158" s="1">
        <f t="shared" ca="1" si="14"/>
        <v>1</v>
      </c>
      <c r="D158" s="1" t="str">
        <f t="shared" ca="1" si="15"/>
        <v>Femme</v>
      </c>
      <c r="E158" s="1">
        <f t="shared" ca="1" si="16"/>
        <v>3</v>
      </c>
      <c r="F158" s="1" t="str">
        <f t="shared" ca="1" si="17"/>
        <v>Ne se prononce pas</v>
      </c>
    </row>
    <row r="159" spans="1:6" x14ac:dyDescent="0.25">
      <c r="A159" s="1">
        <f t="shared" si="18"/>
        <v>158</v>
      </c>
      <c r="B159" s="1">
        <f t="shared" ca="1" si="13"/>
        <v>47</v>
      </c>
      <c r="C159" s="1">
        <f t="shared" ca="1" si="14"/>
        <v>0</v>
      </c>
      <c r="D159" s="1" t="str">
        <f t="shared" ca="1" si="15"/>
        <v>Homme</v>
      </c>
      <c r="E159" s="1">
        <f t="shared" ca="1" si="16"/>
        <v>3</v>
      </c>
      <c r="F159" s="1" t="str">
        <f t="shared" ca="1" si="17"/>
        <v>Ne se prononce pas</v>
      </c>
    </row>
    <row r="160" spans="1:6" x14ac:dyDescent="0.25">
      <c r="A160" s="1">
        <f t="shared" si="18"/>
        <v>159</v>
      </c>
      <c r="B160" s="1">
        <f t="shared" ca="1" si="13"/>
        <v>31</v>
      </c>
      <c r="C160" s="1">
        <f t="shared" ca="1" si="14"/>
        <v>0</v>
      </c>
      <c r="D160" s="1" t="str">
        <f t="shared" ca="1" si="15"/>
        <v>Homme</v>
      </c>
      <c r="E160" s="1">
        <f t="shared" ca="1" si="16"/>
        <v>2</v>
      </c>
      <c r="F160" s="1" t="str">
        <f t="shared" ca="1" si="17"/>
        <v>Défavorable</v>
      </c>
    </row>
    <row r="161" spans="1:6" x14ac:dyDescent="0.25">
      <c r="A161" s="1">
        <f t="shared" si="18"/>
        <v>160</v>
      </c>
      <c r="B161" s="1">
        <f t="shared" ca="1" si="13"/>
        <v>41</v>
      </c>
      <c r="C161" s="1">
        <f t="shared" ca="1" si="14"/>
        <v>0</v>
      </c>
      <c r="D161" s="1" t="str">
        <f t="shared" ca="1" si="15"/>
        <v>Homme</v>
      </c>
      <c r="E161" s="1">
        <f t="shared" ca="1" si="16"/>
        <v>1</v>
      </c>
      <c r="F161" s="1" t="str">
        <f t="shared" ca="1" si="17"/>
        <v>Favorable</v>
      </c>
    </row>
    <row r="162" spans="1:6" x14ac:dyDescent="0.25">
      <c r="A162" s="1">
        <f t="shared" si="18"/>
        <v>161</v>
      </c>
      <c r="B162" s="1">
        <f t="shared" ca="1" si="13"/>
        <v>36</v>
      </c>
      <c r="C162" s="1">
        <f t="shared" ca="1" si="14"/>
        <v>1</v>
      </c>
      <c r="D162" s="1" t="str">
        <f t="shared" ca="1" si="15"/>
        <v>Femme</v>
      </c>
      <c r="E162" s="1">
        <f t="shared" ca="1" si="16"/>
        <v>3</v>
      </c>
      <c r="F162" s="1" t="str">
        <f t="shared" ca="1" si="17"/>
        <v>Ne se prononce pas</v>
      </c>
    </row>
    <row r="163" spans="1:6" x14ac:dyDescent="0.25">
      <c r="A163" s="1">
        <f t="shared" si="18"/>
        <v>162</v>
      </c>
      <c r="B163" s="1">
        <f t="shared" ca="1" si="13"/>
        <v>30</v>
      </c>
      <c r="C163" s="1">
        <f t="shared" ca="1" si="14"/>
        <v>0</v>
      </c>
      <c r="D163" s="1" t="str">
        <f t="shared" ca="1" si="15"/>
        <v>Homme</v>
      </c>
      <c r="E163" s="1">
        <f t="shared" ca="1" si="16"/>
        <v>1</v>
      </c>
      <c r="F163" s="1" t="str">
        <f t="shared" ca="1" si="17"/>
        <v>Favorable</v>
      </c>
    </row>
    <row r="164" spans="1:6" x14ac:dyDescent="0.25">
      <c r="A164" s="1">
        <f t="shared" si="18"/>
        <v>163</v>
      </c>
      <c r="B164" s="1">
        <f t="shared" ca="1" si="13"/>
        <v>35</v>
      </c>
      <c r="C164" s="1">
        <f t="shared" ca="1" si="14"/>
        <v>0</v>
      </c>
      <c r="D164" s="1" t="str">
        <f t="shared" ca="1" si="15"/>
        <v>Homme</v>
      </c>
      <c r="E164" s="1">
        <f t="shared" ca="1" si="16"/>
        <v>2</v>
      </c>
      <c r="F164" s="1" t="str">
        <f t="shared" ca="1" si="17"/>
        <v>Défavorable</v>
      </c>
    </row>
    <row r="165" spans="1:6" x14ac:dyDescent="0.25">
      <c r="A165" s="1">
        <f t="shared" si="18"/>
        <v>164</v>
      </c>
      <c r="B165" s="1">
        <f t="shared" ca="1" si="13"/>
        <v>48</v>
      </c>
      <c r="C165" s="1">
        <f t="shared" ca="1" si="14"/>
        <v>1</v>
      </c>
      <c r="D165" s="1" t="str">
        <f t="shared" ca="1" si="15"/>
        <v>Femme</v>
      </c>
      <c r="E165" s="1">
        <f t="shared" ca="1" si="16"/>
        <v>3</v>
      </c>
      <c r="F165" s="1" t="str">
        <f t="shared" ca="1" si="17"/>
        <v>Ne se prononce pas</v>
      </c>
    </row>
    <row r="166" spans="1:6" x14ac:dyDescent="0.25">
      <c r="A166" s="1">
        <f t="shared" si="18"/>
        <v>165</v>
      </c>
      <c r="B166" s="1">
        <f t="shared" ca="1" si="13"/>
        <v>31</v>
      </c>
      <c r="C166" s="1">
        <f t="shared" ca="1" si="14"/>
        <v>1</v>
      </c>
      <c r="D166" s="1" t="str">
        <f t="shared" ca="1" si="15"/>
        <v>Femme</v>
      </c>
      <c r="E166" s="1">
        <f t="shared" ca="1" si="16"/>
        <v>2</v>
      </c>
      <c r="F166" s="1" t="str">
        <f t="shared" ca="1" si="17"/>
        <v>Défavorable</v>
      </c>
    </row>
    <row r="167" spans="1:6" x14ac:dyDescent="0.25">
      <c r="A167" s="1">
        <f t="shared" si="18"/>
        <v>166</v>
      </c>
      <c r="B167" s="1">
        <f t="shared" ca="1" si="13"/>
        <v>42</v>
      </c>
      <c r="C167" s="1">
        <f t="shared" ca="1" si="14"/>
        <v>0</v>
      </c>
      <c r="D167" s="1" t="str">
        <f t="shared" ca="1" si="15"/>
        <v>Homme</v>
      </c>
      <c r="E167" s="1">
        <f t="shared" ca="1" si="16"/>
        <v>1</v>
      </c>
      <c r="F167" s="1" t="str">
        <f t="shared" ca="1" si="17"/>
        <v>Favorable</v>
      </c>
    </row>
    <row r="168" spans="1:6" x14ac:dyDescent="0.25">
      <c r="A168" s="1">
        <f t="shared" si="18"/>
        <v>167</v>
      </c>
      <c r="B168" s="1">
        <f t="shared" ca="1" si="13"/>
        <v>44</v>
      </c>
      <c r="C168" s="1">
        <f t="shared" ca="1" si="14"/>
        <v>1</v>
      </c>
      <c r="D168" s="1" t="str">
        <f t="shared" ca="1" si="15"/>
        <v>Femme</v>
      </c>
      <c r="E168" s="1">
        <f t="shared" ca="1" si="16"/>
        <v>2</v>
      </c>
      <c r="F168" s="1" t="str">
        <f t="shared" ca="1" si="17"/>
        <v>Défavorable</v>
      </c>
    </row>
    <row r="169" spans="1:6" x14ac:dyDescent="0.25">
      <c r="A169" s="1">
        <f t="shared" si="18"/>
        <v>168</v>
      </c>
      <c r="B169" s="1">
        <f t="shared" ca="1" si="13"/>
        <v>47</v>
      </c>
      <c r="C169" s="1">
        <f t="shared" ca="1" si="14"/>
        <v>1</v>
      </c>
      <c r="D169" s="1" t="str">
        <f t="shared" ca="1" si="15"/>
        <v>Femme</v>
      </c>
      <c r="E169" s="1">
        <f t="shared" ca="1" si="16"/>
        <v>3</v>
      </c>
      <c r="F169" s="1" t="str">
        <f t="shared" ca="1" si="17"/>
        <v>Ne se prononce pas</v>
      </c>
    </row>
    <row r="170" spans="1:6" x14ac:dyDescent="0.25">
      <c r="A170" s="1">
        <f t="shared" si="18"/>
        <v>169</v>
      </c>
      <c r="B170" s="1">
        <f t="shared" ca="1" si="13"/>
        <v>35</v>
      </c>
      <c r="C170" s="1">
        <f t="shared" ca="1" si="14"/>
        <v>1</v>
      </c>
      <c r="D170" s="1" t="str">
        <f t="shared" ca="1" si="15"/>
        <v>Femme</v>
      </c>
      <c r="E170" s="1">
        <f t="shared" ca="1" si="16"/>
        <v>1</v>
      </c>
      <c r="F170" s="1" t="str">
        <f t="shared" ca="1" si="17"/>
        <v>Favorable</v>
      </c>
    </row>
    <row r="171" spans="1:6" x14ac:dyDescent="0.25">
      <c r="A171" s="1">
        <f t="shared" si="18"/>
        <v>170</v>
      </c>
      <c r="B171" s="1">
        <f t="shared" ca="1" si="13"/>
        <v>47</v>
      </c>
      <c r="C171" s="1">
        <f t="shared" ca="1" si="14"/>
        <v>0</v>
      </c>
      <c r="D171" s="1" t="str">
        <f t="shared" ca="1" si="15"/>
        <v>Homme</v>
      </c>
      <c r="E171" s="1">
        <f t="shared" ca="1" si="16"/>
        <v>1</v>
      </c>
      <c r="F171" s="1" t="str">
        <f t="shared" ca="1" si="17"/>
        <v>Favorable</v>
      </c>
    </row>
    <row r="172" spans="1:6" x14ac:dyDescent="0.25">
      <c r="A172" s="1">
        <f t="shared" si="18"/>
        <v>171</v>
      </c>
      <c r="B172" s="1">
        <f t="shared" ca="1" si="13"/>
        <v>34</v>
      </c>
      <c r="C172" s="1">
        <f t="shared" ca="1" si="14"/>
        <v>0</v>
      </c>
      <c r="D172" s="1" t="str">
        <f t="shared" ca="1" si="15"/>
        <v>Homme</v>
      </c>
      <c r="E172" s="1">
        <f t="shared" ca="1" si="16"/>
        <v>2</v>
      </c>
      <c r="F172" s="1" t="str">
        <f t="shared" ca="1" si="17"/>
        <v>Défavorable</v>
      </c>
    </row>
    <row r="173" spans="1:6" x14ac:dyDescent="0.25">
      <c r="A173" s="1">
        <f t="shared" si="18"/>
        <v>172</v>
      </c>
      <c r="B173" s="1">
        <f t="shared" ca="1" si="13"/>
        <v>42</v>
      </c>
      <c r="C173" s="1">
        <f t="shared" ca="1" si="14"/>
        <v>0</v>
      </c>
      <c r="D173" s="1" t="str">
        <f t="shared" ca="1" si="15"/>
        <v>Homme</v>
      </c>
      <c r="E173" s="1">
        <f t="shared" ca="1" si="16"/>
        <v>2</v>
      </c>
      <c r="F173" s="1" t="str">
        <f t="shared" ca="1" si="17"/>
        <v>Défavorable</v>
      </c>
    </row>
    <row r="174" spans="1:6" x14ac:dyDescent="0.25">
      <c r="A174" s="1">
        <f t="shared" si="18"/>
        <v>173</v>
      </c>
      <c r="B174" s="1">
        <f t="shared" ca="1" si="13"/>
        <v>38</v>
      </c>
      <c r="C174" s="1">
        <f t="shared" ca="1" si="14"/>
        <v>0</v>
      </c>
      <c r="D174" s="1" t="str">
        <f t="shared" ca="1" si="15"/>
        <v>Homme</v>
      </c>
      <c r="E174" s="1">
        <f t="shared" ca="1" si="16"/>
        <v>2</v>
      </c>
      <c r="F174" s="1" t="str">
        <f t="shared" ca="1" si="17"/>
        <v>Défavorable</v>
      </c>
    </row>
    <row r="175" spans="1:6" x14ac:dyDescent="0.25">
      <c r="A175" s="1">
        <f t="shared" si="18"/>
        <v>174</v>
      </c>
      <c r="B175" s="1">
        <f t="shared" ca="1" si="13"/>
        <v>42</v>
      </c>
      <c r="C175" s="1">
        <f t="shared" ca="1" si="14"/>
        <v>1</v>
      </c>
      <c r="D175" s="1" t="str">
        <f t="shared" ca="1" si="15"/>
        <v>Femme</v>
      </c>
      <c r="E175" s="1">
        <f t="shared" ca="1" si="16"/>
        <v>1</v>
      </c>
      <c r="F175" s="1" t="str">
        <f t="shared" ca="1" si="17"/>
        <v>Favorable</v>
      </c>
    </row>
    <row r="176" spans="1:6" x14ac:dyDescent="0.25">
      <c r="A176" s="1">
        <f t="shared" si="18"/>
        <v>175</v>
      </c>
      <c r="B176" s="1">
        <f t="shared" ca="1" si="13"/>
        <v>32</v>
      </c>
      <c r="C176" s="1">
        <f t="shared" ca="1" si="14"/>
        <v>1</v>
      </c>
      <c r="D176" s="1" t="str">
        <f t="shared" ca="1" si="15"/>
        <v>Femme</v>
      </c>
      <c r="E176" s="1">
        <f t="shared" ca="1" si="16"/>
        <v>3</v>
      </c>
      <c r="F176" s="1" t="str">
        <f t="shared" ca="1" si="17"/>
        <v>Ne se prononce pas</v>
      </c>
    </row>
    <row r="177" spans="1:6" x14ac:dyDescent="0.25">
      <c r="A177" s="1">
        <f t="shared" si="18"/>
        <v>176</v>
      </c>
      <c r="B177" s="1">
        <f t="shared" ca="1" si="13"/>
        <v>38</v>
      </c>
      <c r="C177" s="1">
        <f t="shared" ca="1" si="14"/>
        <v>0</v>
      </c>
      <c r="D177" s="1" t="str">
        <f t="shared" ca="1" si="15"/>
        <v>Homme</v>
      </c>
      <c r="E177" s="1">
        <f t="shared" ca="1" si="16"/>
        <v>3</v>
      </c>
      <c r="F177" s="1" t="str">
        <f t="shared" ca="1" si="17"/>
        <v>Ne se prononce pas</v>
      </c>
    </row>
    <row r="178" spans="1:6" x14ac:dyDescent="0.25">
      <c r="A178" s="1">
        <f t="shared" si="18"/>
        <v>177</v>
      </c>
      <c r="B178" s="1">
        <f t="shared" ca="1" si="13"/>
        <v>35</v>
      </c>
      <c r="C178" s="1">
        <f t="shared" ca="1" si="14"/>
        <v>1</v>
      </c>
      <c r="D178" s="1" t="str">
        <f t="shared" ca="1" si="15"/>
        <v>Femme</v>
      </c>
      <c r="E178" s="1">
        <f t="shared" ca="1" si="16"/>
        <v>2</v>
      </c>
      <c r="F178" s="1" t="str">
        <f t="shared" ca="1" si="17"/>
        <v>Défavorable</v>
      </c>
    </row>
    <row r="179" spans="1:6" x14ac:dyDescent="0.25">
      <c r="A179" s="1">
        <f t="shared" si="18"/>
        <v>178</v>
      </c>
      <c r="B179" s="1">
        <f t="shared" ca="1" si="13"/>
        <v>42</v>
      </c>
      <c r="C179" s="1">
        <f t="shared" ca="1" si="14"/>
        <v>1</v>
      </c>
      <c r="D179" s="1" t="str">
        <f t="shared" ca="1" si="15"/>
        <v>Femme</v>
      </c>
      <c r="E179" s="1">
        <f t="shared" ca="1" si="16"/>
        <v>1</v>
      </c>
      <c r="F179" s="1" t="str">
        <f t="shared" ca="1" si="17"/>
        <v>Favorable</v>
      </c>
    </row>
    <row r="180" spans="1:6" x14ac:dyDescent="0.25">
      <c r="A180" s="1">
        <f t="shared" si="18"/>
        <v>179</v>
      </c>
      <c r="B180" s="1">
        <f t="shared" ca="1" si="13"/>
        <v>38</v>
      </c>
      <c r="C180" s="1">
        <f t="shared" ca="1" si="14"/>
        <v>1</v>
      </c>
      <c r="D180" s="1" t="str">
        <f t="shared" ca="1" si="15"/>
        <v>Femme</v>
      </c>
      <c r="E180" s="1">
        <f t="shared" ca="1" si="16"/>
        <v>3</v>
      </c>
      <c r="F180" s="1" t="str">
        <f t="shared" ca="1" si="17"/>
        <v>Ne se prononce pas</v>
      </c>
    </row>
    <row r="181" spans="1:6" x14ac:dyDescent="0.25">
      <c r="A181" s="1">
        <f t="shared" si="18"/>
        <v>180</v>
      </c>
      <c r="B181" s="1">
        <f t="shared" ca="1" si="13"/>
        <v>46</v>
      </c>
      <c r="C181" s="1">
        <f t="shared" ca="1" si="14"/>
        <v>1</v>
      </c>
      <c r="D181" s="1" t="str">
        <f t="shared" ca="1" si="15"/>
        <v>Femme</v>
      </c>
      <c r="E181" s="1">
        <f t="shared" ca="1" si="16"/>
        <v>2</v>
      </c>
      <c r="F181" s="1" t="str">
        <f t="shared" ca="1" si="17"/>
        <v>Défavorable</v>
      </c>
    </row>
    <row r="182" spans="1:6" x14ac:dyDescent="0.25">
      <c r="A182" s="1">
        <f t="shared" si="18"/>
        <v>181</v>
      </c>
      <c r="B182" s="1">
        <f t="shared" ca="1" si="13"/>
        <v>38</v>
      </c>
      <c r="C182" s="1">
        <f t="shared" ca="1" si="14"/>
        <v>1</v>
      </c>
      <c r="D182" s="1" t="str">
        <f t="shared" ca="1" si="15"/>
        <v>Femme</v>
      </c>
      <c r="E182" s="1">
        <f t="shared" ca="1" si="16"/>
        <v>2</v>
      </c>
      <c r="F182" s="1" t="str">
        <f t="shared" ca="1" si="17"/>
        <v>Défavorable</v>
      </c>
    </row>
    <row r="183" spans="1:6" x14ac:dyDescent="0.25">
      <c r="A183" s="1">
        <f t="shared" si="18"/>
        <v>182</v>
      </c>
      <c r="B183" s="1">
        <f t="shared" ca="1" si="13"/>
        <v>35</v>
      </c>
      <c r="C183" s="1">
        <f t="shared" ca="1" si="14"/>
        <v>0</v>
      </c>
      <c r="D183" s="1" t="str">
        <f t="shared" ca="1" si="15"/>
        <v>Homme</v>
      </c>
      <c r="E183" s="1">
        <f t="shared" ca="1" si="16"/>
        <v>3</v>
      </c>
      <c r="F183" s="1" t="str">
        <f t="shared" ca="1" si="17"/>
        <v>Ne se prononce pas</v>
      </c>
    </row>
    <row r="184" spans="1:6" x14ac:dyDescent="0.25">
      <c r="A184" s="1">
        <f t="shared" si="18"/>
        <v>183</v>
      </c>
      <c r="B184" s="1">
        <f t="shared" ca="1" si="13"/>
        <v>50</v>
      </c>
      <c r="C184" s="1">
        <f t="shared" ca="1" si="14"/>
        <v>0</v>
      </c>
      <c r="D184" s="1" t="str">
        <f t="shared" ca="1" si="15"/>
        <v>Homme</v>
      </c>
      <c r="E184" s="1">
        <f t="shared" ca="1" si="16"/>
        <v>1</v>
      </c>
      <c r="F184" s="1" t="str">
        <f t="shared" ca="1" si="17"/>
        <v>Favorable</v>
      </c>
    </row>
    <row r="185" spans="1:6" x14ac:dyDescent="0.25">
      <c r="A185" s="1">
        <f t="shared" si="18"/>
        <v>184</v>
      </c>
      <c r="B185" s="1">
        <f t="shared" ca="1" si="13"/>
        <v>50</v>
      </c>
      <c r="C185" s="1">
        <f t="shared" ca="1" si="14"/>
        <v>1</v>
      </c>
      <c r="D185" s="1" t="str">
        <f t="shared" ca="1" si="15"/>
        <v>Femme</v>
      </c>
      <c r="E185" s="1">
        <f t="shared" ca="1" si="16"/>
        <v>1</v>
      </c>
      <c r="F185" s="1" t="str">
        <f t="shared" ca="1" si="17"/>
        <v>Favorable</v>
      </c>
    </row>
    <row r="186" spans="1:6" x14ac:dyDescent="0.25">
      <c r="A186" s="1">
        <f t="shared" si="18"/>
        <v>185</v>
      </c>
      <c r="B186" s="1">
        <f t="shared" ca="1" si="13"/>
        <v>37</v>
      </c>
      <c r="C186" s="1">
        <f t="shared" ca="1" si="14"/>
        <v>0</v>
      </c>
      <c r="D186" s="1" t="str">
        <f t="shared" ca="1" si="15"/>
        <v>Homme</v>
      </c>
      <c r="E186" s="1">
        <f t="shared" ca="1" si="16"/>
        <v>2</v>
      </c>
      <c r="F186" s="1" t="str">
        <f t="shared" ca="1" si="17"/>
        <v>Défavorable</v>
      </c>
    </row>
    <row r="187" spans="1:6" x14ac:dyDescent="0.25">
      <c r="A187" s="1">
        <f t="shared" si="18"/>
        <v>186</v>
      </c>
      <c r="B187" s="1">
        <f t="shared" ca="1" si="13"/>
        <v>48</v>
      </c>
      <c r="C187" s="1">
        <f t="shared" ca="1" si="14"/>
        <v>1</v>
      </c>
      <c r="D187" s="1" t="str">
        <f t="shared" ca="1" si="15"/>
        <v>Femme</v>
      </c>
      <c r="E187" s="1">
        <f t="shared" ca="1" si="16"/>
        <v>2</v>
      </c>
      <c r="F187" s="1" t="str">
        <f t="shared" ca="1" si="17"/>
        <v>Défavorable</v>
      </c>
    </row>
    <row r="188" spans="1:6" x14ac:dyDescent="0.25">
      <c r="A188" s="1">
        <f t="shared" si="18"/>
        <v>187</v>
      </c>
      <c r="B188" s="1">
        <f t="shared" ca="1" si="13"/>
        <v>45</v>
      </c>
      <c r="C188" s="1">
        <f t="shared" ca="1" si="14"/>
        <v>1</v>
      </c>
      <c r="D188" s="1" t="str">
        <f t="shared" ca="1" si="15"/>
        <v>Femme</v>
      </c>
      <c r="E188" s="1">
        <f t="shared" ca="1" si="16"/>
        <v>3</v>
      </c>
      <c r="F188" s="1" t="str">
        <f t="shared" ca="1" si="17"/>
        <v>Ne se prononce pas</v>
      </c>
    </row>
    <row r="189" spans="1:6" x14ac:dyDescent="0.25">
      <c r="A189" s="1">
        <f t="shared" si="18"/>
        <v>188</v>
      </c>
      <c r="B189" s="1">
        <f t="shared" ca="1" si="13"/>
        <v>50</v>
      </c>
      <c r="C189" s="1">
        <f t="shared" ca="1" si="14"/>
        <v>0</v>
      </c>
      <c r="D189" s="1" t="str">
        <f t="shared" ca="1" si="15"/>
        <v>Homme</v>
      </c>
      <c r="E189" s="1">
        <f t="shared" ca="1" si="16"/>
        <v>1</v>
      </c>
      <c r="F189" s="1" t="str">
        <f t="shared" ca="1" si="17"/>
        <v>Favorable</v>
      </c>
    </row>
    <row r="190" spans="1:6" x14ac:dyDescent="0.25">
      <c r="A190" s="1">
        <f t="shared" si="18"/>
        <v>189</v>
      </c>
      <c r="B190" s="1">
        <f t="shared" ca="1" si="13"/>
        <v>31</v>
      </c>
      <c r="C190" s="1">
        <f t="shared" ca="1" si="14"/>
        <v>0</v>
      </c>
      <c r="D190" s="1" t="str">
        <f t="shared" ca="1" si="15"/>
        <v>Homme</v>
      </c>
      <c r="E190" s="1">
        <f t="shared" ca="1" si="16"/>
        <v>3</v>
      </c>
      <c r="F190" s="1" t="str">
        <f t="shared" ca="1" si="17"/>
        <v>Ne se prononce pas</v>
      </c>
    </row>
    <row r="191" spans="1:6" x14ac:dyDescent="0.25">
      <c r="A191" s="1">
        <f t="shared" si="18"/>
        <v>190</v>
      </c>
      <c r="B191" s="1">
        <f t="shared" ca="1" si="13"/>
        <v>35</v>
      </c>
      <c r="C191" s="1">
        <f t="shared" ca="1" si="14"/>
        <v>1</v>
      </c>
      <c r="D191" s="1" t="str">
        <f t="shared" ca="1" si="15"/>
        <v>Femme</v>
      </c>
      <c r="E191" s="1">
        <f t="shared" ca="1" si="16"/>
        <v>3</v>
      </c>
      <c r="F191" s="1" t="str">
        <f t="shared" ca="1" si="17"/>
        <v>Ne se prononce pas</v>
      </c>
    </row>
    <row r="192" spans="1:6" x14ac:dyDescent="0.25">
      <c r="A192" s="1">
        <f t="shared" si="18"/>
        <v>191</v>
      </c>
      <c r="B192" s="1">
        <f t="shared" ca="1" si="13"/>
        <v>41</v>
      </c>
      <c r="C192" s="1">
        <f t="shared" ca="1" si="14"/>
        <v>1</v>
      </c>
      <c r="D192" s="1" t="str">
        <f t="shared" ca="1" si="15"/>
        <v>Femme</v>
      </c>
      <c r="E192" s="1">
        <f t="shared" ca="1" si="16"/>
        <v>1</v>
      </c>
      <c r="F192" s="1" t="str">
        <f t="shared" ca="1" si="17"/>
        <v>Favorable</v>
      </c>
    </row>
    <row r="193" spans="1:6" x14ac:dyDescent="0.25">
      <c r="A193" s="1">
        <f t="shared" si="18"/>
        <v>192</v>
      </c>
      <c r="B193" s="1">
        <f t="shared" ca="1" si="13"/>
        <v>37</v>
      </c>
      <c r="C193" s="1">
        <f t="shared" ca="1" si="14"/>
        <v>0</v>
      </c>
      <c r="D193" s="1" t="str">
        <f t="shared" ca="1" si="15"/>
        <v>Homme</v>
      </c>
      <c r="E193" s="1">
        <f t="shared" ca="1" si="16"/>
        <v>3</v>
      </c>
      <c r="F193" s="1" t="str">
        <f t="shared" ca="1" si="17"/>
        <v>Ne se prononce pas</v>
      </c>
    </row>
    <row r="194" spans="1:6" x14ac:dyDescent="0.25">
      <c r="A194" s="1">
        <f t="shared" si="18"/>
        <v>193</v>
      </c>
      <c r="B194" s="1">
        <f t="shared" ca="1" si="13"/>
        <v>41</v>
      </c>
      <c r="C194" s="1">
        <f t="shared" ca="1" si="14"/>
        <v>1</v>
      </c>
      <c r="D194" s="1" t="str">
        <f t="shared" ca="1" si="15"/>
        <v>Femme</v>
      </c>
      <c r="E194" s="1">
        <f t="shared" ca="1" si="16"/>
        <v>2</v>
      </c>
      <c r="F194" s="1" t="str">
        <f t="shared" ca="1" si="17"/>
        <v>Défavorable</v>
      </c>
    </row>
    <row r="195" spans="1:6" x14ac:dyDescent="0.25">
      <c r="A195" s="1">
        <f t="shared" si="18"/>
        <v>194</v>
      </c>
      <c r="B195" s="1">
        <f t="shared" ca="1" si="13"/>
        <v>41</v>
      </c>
      <c r="C195" s="1">
        <f t="shared" ca="1" si="14"/>
        <v>0</v>
      </c>
      <c r="D195" s="1" t="str">
        <f t="shared" ca="1" si="15"/>
        <v>Homme</v>
      </c>
      <c r="E195" s="1">
        <f t="shared" ca="1" si="16"/>
        <v>1</v>
      </c>
      <c r="F195" s="1" t="str">
        <f t="shared" ca="1" si="17"/>
        <v>Favorable</v>
      </c>
    </row>
    <row r="196" spans="1:6" x14ac:dyDescent="0.25">
      <c r="A196" s="1">
        <f t="shared" si="18"/>
        <v>195</v>
      </c>
      <c r="B196" s="1">
        <f t="shared" ca="1" si="13"/>
        <v>32</v>
      </c>
      <c r="C196" s="1">
        <f t="shared" ca="1" si="14"/>
        <v>0</v>
      </c>
      <c r="D196" s="1" t="str">
        <f t="shared" ca="1" si="15"/>
        <v>Homme</v>
      </c>
      <c r="E196" s="1">
        <f t="shared" ca="1" si="16"/>
        <v>2</v>
      </c>
      <c r="F196" s="1" t="str">
        <f t="shared" ca="1" si="17"/>
        <v>Défavorable</v>
      </c>
    </row>
    <row r="197" spans="1:6" x14ac:dyDescent="0.25">
      <c r="A197" s="1">
        <f t="shared" si="18"/>
        <v>196</v>
      </c>
      <c r="B197" s="1">
        <f t="shared" ca="1" si="13"/>
        <v>30</v>
      </c>
      <c r="C197" s="1">
        <f t="shared" ca="1" si="14"/>
        <v>1</v>
      </c>
      <c r="D197" s="1" t="str">
        <f t="shared" ca="1" si="15"/>
        <v>Femme</v>
      </c>
      <c r="E197" s="1">
        <f t="shared" ca="1" si="16"/>
        <v>1</v>
      </c>
      <c r="F197" s="1" t="str">
        <f t="shared" ca="1" si="17"/>
        <v>Favorable</v>
      </c>
    </row>
    <row r="198" spans="1:6" x14ac:dyDescent="0.25">
      <c r="A198" s="1">
        <f t="shared" si="18"/>
        <v>197</v>
      </c>
      <c r="B198" s="1">
        <f t="shared" ca="1" si="13"/>
        <v>42</v>
      </c>
      <c r="C198" s="1">
        <f t="shared" ca="1" si="14"/>
        <v>1</v>
      </c>
      <c r="D198" s="1" t="str">
        <f t="shared" ca="1" si="15"/>
        <v>Femme</v>
      </c>
      <c r="E198" s="1">
        <f t="shared" ca="1" si="16"/>
        <v>3</v>
      </c>
      <c r="F198" s="1" t="str">
        <f t="shared" ca="1" si="17"/>
        <v>Ne se prononce pas</v>
      </c>
    </row>
    <row r="199" spans="1:6" x14ac:dyDescent="0.25">
      <c r="A199" s="1">
        <f t="shared" si="18"/>
        <v>198</v>
      </c>
      <c r="B199" s="1">
        <f t="shared" ref="B199:B262" ca="1" si="19">RANDBETWEEN(30,50)</f>
        <v>44</v>
      </c>
      <c r="C199" s="1">
        <f t="shared" ref="C199:C262" ca="1" si="20">RANDBETWEEN(0,1)</f>
        <v>0</v>
      </c>
      <c r="D199" s="1" t="str">
        <f t="shared" ref="D199:D262" ca="1" si="21">IF(C199=0, "Homme", "Femme")</f>
        <v>Homme</v>
      </c>
      <c r="E199" s="1">
        <f t="shared" ref="E199:E262" ca="1" si="22">RANDBETWEEN(1,3)</f>
        <v>3</v>
      </c>
      <c r="F199" s="1" t="str">
        <f t="shared" ref="F199:F262" ca="1" si="23">IF(E199=1, "Favorable", IF(E199=2, "Défavorable", "Ne se prononce pas"))</f>
        <v>Ne se prononce pas</v>
      </c>
    </row>
    <row r="200" spans="1:6" x14ac:dyDescent="0.25">
      <c r="A200" s="1">
        <f t="shared" si="18"/>
        <v>199</v>
      </c>
      <c r="B200" s="1">
        <f t="shared" ca="1" si="19"/>
        <v>37</v>
      </c>
      <c r="C200" s="1">
        <f t="shared" ca="1" si="20"/>
        <v>1</v>
      </c>
      <c r="D200" s="1" t="str">
        <f t="shared" ca="1" si="21"/>
        <v>Femme</v>
      </c>
      <c r="E200" s="1">
        <f t="shared" ca="1" si="22"/>
        <v>2</v>
      </c>
      <c r="F200" s="1" t="str">
        <f t="shared" ca="1" si="23"/>
        <v>Défavorable</v>
      </c>
    </row>
    <row r="201" spans="1:6" x14ac:dyDescent="0.25">
      <c r="A201" s="1">
        <f t="shared" si="18"/>
        <v>200</v>
      </c>
      <c r="B201" s="1">
        <f t="shared" ca="1" si="19"/>
        <v>37</v>
      </c>
      <c r="C201" s="1">
        <f t="shared" ca="1" si="20"/>
        <v>1</v>
      </c>
      <c r="D201" s="1" t="str">
        <f t="shared" ca="1" si="21"/>
        <v>Femme</v>
      </c>
      <c r="E201" s="1">
        <f t="shared" ca="1" si="22"/>
        <v>3</v>
      </c>
      <c r="F201" s="1" t="str">
        <f t="shared" ca="1" si="23"/>
        <v>Ne se prononce pas</v>
      </c>
    </row>
    <row r="202" spans="1:6" x14ac:dyDescent="0.25">
      <c r="A202" s="1">
        <f t="shared" si="18"/>
        <v>201</v>
      </c>
      <c r="B202" s="1">
        <f t="shared" ca="1" si="19"/>
        <v>37</v>
      </c>
      <c r="C202" s="1">
        <f t="shared" ca="1" si="20"/>
        <v>1</v>
      </c>
      <c r="D202" s="1" t="str">
        <f t="shared" ca="1" si="21"/>
        <v>Femme</v>
      </c>
      <c r="E202" s="1">
        <f t="shared" ca="1" si="22"/>
        <v>2</v>
      </c>
      <c r="F202" s="1" t="str">
        <f t="shared" ca="1" si="23"/>
        <v>Défavorable</v>
      </c>
    </row>
    <row r="203" spans="1:6" x14ac:dyDescent="0.25">
      <c r="A203" s="1">
        <f t="shared" si="18"/>
        <v>202</v>
      </c>
      <c r="B203" s="1">
        <f t="shared" ca="1" si="19"/>
        <v>43</v>
      </c>
      <c r="C203" s="1">
        <f t="shared" ca="1" si="20"/>
        <v>1</v>
      </c>
      <c r="D203" s="1" t="str">
        <f t="shared" ca="1" si="21"/>
        <v>Femme</v>
      </c>
      <c r="E203" s="1">
        <f t="shared" ca="1" si="22"/>
        <v>2</v>
      </c>
      <c r="F203" s="1" t="str">
        <f t="shared" ca="1" si="23"/>
        <v>Défavorable</v>
      </c>
    </row>
    <row r="204" spans="1:6" x14ac:dyDescent="0.25">
      <c r="A204" s="1">
        <f t="shared" si="18"/>
        <v>203</v>
      </c>
      <c r="B204" s="1">
        <f t="shared" ca="1" si="19"/>
        <v>38</v>
      </c>
      <c r="C204" s="1">
        <f t="shared" ca="1" si="20"/>
        <v>1</v>
      </c>
      <c r="D204" s="1" t="str">
        <f t="shared" ca="1" si="21"/>
        <v>Femme</v>
      </c>
      <c r="E204" s="1">
        <f t="shared" ca="1" si="22"/>
        <v>2</v>
      </c>
      <c r="F204" s="1" t="str">
        <f t="shared" ca="1" si="23"/>
        <v>Défavorable</v>
      </c>
    </row>
    <row r="205" spans="1:6" x14ac:dyDescent="0.25">
      <c r="A205" s="1">
        <f t="shared" si="18"/>
        <v>204</v>
      </c>
      <c r="B205" s="1">
        <f t="shared" ca="1" si="19"/>
        <v>36</v>
      </c>
      <c r="C205" s="1">
        <f t="shared" ca="1" si="20"/>
        <v>1</v>
      </c>
      <c r="D205" s="1" t="str">
        <f t="shared" ca="1" si="21"/>
        <v>Femme</v>
      </c>
      <c r="E205" s="1">
        <f t="shared" ca="1" si="22"/>
        <v>2</v>
      </c>
      <c r="F205" s="1" t="str">
        <f t="shared" ca="1" si="23"/>
        <v>Défavorable</v>
      </c>
    </row>
    <row r="206" spans="1:6" x14ac:dyDescent="0.25">
      <c r="A206" s="1">
        <f t="shared" si="18"/>
        <v>205</v>
      </c>
      <c r="B206" s="1">
        <f t="shared" ca="1" si="19"/>
        <v>47</v>
      </c>
      <c r="C206" s="1">
        <f t="shared" ca="1" si="20"/>
        <v>1</v>
      </c>
      <c r="D206" s="1" t="str">
        <f t="shared" ca="1" si="21"/>
        <v>Femme</v>
      </c>
      <c r="E206" s="1">
        <f t="shared" ca="1" si="22"/>
        <v>2</v>
      </c>
      <c r="F206" s="1" t="str">
        <f t="shared" ca="1" si="23"/>
        <v>Défavorable</v>
      </c>
    </row>
    <row r="207" spans="1:6" x14ac:dyDescent="0.25">
      <c r="A207" s="1">
        <f t="shared" si="18"/>
        <v>206</v>
      </c>
      <c r="B207" s="1">
        <f t="shared" ca="1" si="19"/>
        <v>32</v>
      </c>
      <c r="C207" s="1">
        <f t="shared" ca="1" si="20"/>
        <v>0</v>
      </c>
      <c r="D207" s="1" t="str">
        <f t="shared" ca="1" si="21"/>
        <v>Homme</v>
      </c>
      <c r="E207" s="1">
        <f t="shared" ca="1" si="22"/>
        <v>3</v>
      </c>
      <c r="F207" s="1" t="str">
        <f t="shared" ca="1" si="23"/>
        <v>Ne se prononce pas</v>
      </c>
    </row>
    <row r="208" spans="1:6" x14ac:dyDescent="0.25">
      <c r="A208" s="1">
        <f t="shared" ref="A208:A271" si="24">A207+1</f>
        <v>207</v>
      </c>
      <c r="B208" s="1">
        <f t="shared" ca="1" si="19"/>
        <v>41</v>
      </c>
      <c r="C208" s="1">
        <f t="shared" ca="1" si="20"/>
        <v>1</v>
      </c>
      <c r="D208" s="1" t="str">
        <f t="shared" ca="1" si="21"/>
        <v>Femme</v>
      </c>
      <c r="E208" s="1">
        <f t="shared" ca="1" si="22"/>
        <v>3</v>
      </c>
      <c r="F208" s="1" t="str">
        <f t="shared" ca="1" si="23"/>
        <v>Ne se prononce pas</v>
      </c>
    </row>
    <row r="209" spans="1:6" x14ac:dyDescent="0.25">
      <c r="A209" s="1">
        <f t="shared" si="24"/>
        <v>208</v>
      </c>
      <c r="B209" s="1">
        <f t="shared" ca="1" si="19"/>
        <v>33</v>
      </c>
      <c r="C209" s="1">
        <f t="shared" ca="1" si="20"/>
        <v>1</v>
      </c>
      <c r="D209" s="1" t="str">
        <f t="shared" ca="1" si="21"/>
        <v>Femme</v>
      </c>
      <c r="E209" s="1">
        <f t="shared" ca="1" si="22"/>
        <v>1</v>
      </c>
      <c r="F209" s="1" t="str">
        <f t="shared" ca="1" si="23"/>
        <v>Favorable</v>
      </c>
    </row>
    <row r="210" spans="1:6" x14ac:dyDescent="0.25">
      <c r="A210" s="1">
        <f t="shared" si="24"/>
        <v>209</v>
      </c>
      <c r="B210" s="1">
        <f t="shared" ca="1" si="19"/>
        <v>35</v>
      </c>
      <c r="C210" s="1">
        <f t="shared" ca="1" si="20"/>
        <v>0</v>
      </c>
      <c r="D210" s="1" t="str">
        <f t="shared" ca="1" si="21"/>
        <v>Homme</v>
      </c>
      <c r="E210" s="1">
        <f t="shared" ca="1" si="22"/>
        <v>2</v>
      </c>
      <c r="F210" s="1" t="str">
        <f t="shared" ca="1" si="23"/>
        <v>Défavorable</v>
      </c>
    </row>
    <row r="211" spans="1:6" x14ac:dyDescent="0.25">
      <c r="A211" s="1">
        <f t="shared" si="24"/>
        <v>210</v>
      </c>
      <c r="B211" s="1">
        <f t="shared" ca="1" si="19"/>
        <v>38</v>
      </c>
      <c r="C211" s="1">
        <f t="shared" ca="1" si="20"/>
        <v>1</v>
      </c>
      <c r="D211" s="1" t="str">
        <f t="shared" ca="1" si="21"/>
        <v>Femme</v>
      </c>
      <c r="E211" s="1">
        <f t="shared" ca="1" si="22"/>
        <v>3</v>
      </c>
      <c r="F211" s="1" t="str">
        <f t="shared" ca="1" si="23"/>
        <v>Ne se prononce pas</v>
      </c>
    </row>
    <row r="212" spans="1:6" x14ac:dyDescent="0.25">
      <c r="A212" s="1">
        <f t="shared" si="24"/>
        <v>211</v>
      </c>
      <c r="B212" s="1">
        <f t="shared" ca="1" si="19"/>
        <v>36</v>
      </c>
      <c r="C212" s="1">
        <f t="shared" ca="1" si="20"/>
        <v>0</v>
      </c>
      <c r="D212" s="1" t="str">
        <f t="shared" ca="1" si="21"/>
        <v>Homme</v>
      </c>
      <c r="E212" s="1">
        <f t="shared" ca="1" si="22"/>
        <v>3</v>
      </c>
      <c r="F212" s="1" t="str">
        <f t="shared" ca="1" si="23"/>
        <v>Ne se prononce pas</v>
      </c>
    </row>
    <row r="213" spans="1:6" x14ac:dyDescent="0.25">
      <c r="A213" s="1">
        <f t="shared" si="24"/>
        <v>212</v>
      </c>
      <c r="B213" s="1">
        <f t="shared" ca="1" si="19"/>
        <v>42</v>
      </c>
      <c r="C213" s="1">
        <f t="shared" ca="1" si="20"/>
        <v>1</v>
      </c>
      <c r="D213" s="1" t="str">
        <f t="shared" ca="1" si="21"/>
        <v>Femme</v>
      </c>
      <c r="E213" s="1">
        <f t="shared" ca="1" si="22"/>
        <v>1</v>
      </c>
      <c r="F213" s="1" t="str">
        <f t="shared" ca="1" si="23"/>
        <v>Favorable</v>
      </c>
    </row>
    <row r="214" spans="1:6" x14ac:dyDescent="0.25">
      <c r="A214" s="1">
        <f t="shared" si="24"/>
        <v>213</v>
      </c>
      <c r="B214" s="1">
        <f t="shared" ca="1" si="19"/>
        <v>33</v>
      </c>
      <c r="C214" s="1">
        <f t="shared" ca="1" si="20"/>
        <v>1</v>
      </c>
      <c r="D214" s="1" t="str">
        <f t="shared" ca="1" si="21"/>
        <v>Femme</v>
      </c>
      <c r="E214" s="1">
        <f t="shared" ca="1" si="22"/>
        <v>2</v>
      </c>
      <c r="F214" s="1" t="str">
        <f t="shared" ca="1" si="23"/>
        <v>Défavorable</v>
      </c>
    </row>
    <row r="215" spans="1:6" x14ac:dyDescent="0.25">
      <c r="A215" s="1">
        <f t="shared" si="24"/>
        <v>214</v>
      </c>
      <c r="B215" s="1">
        <f t="shared" ca="1" si="19"/>
        <v>30</v>
      </c>
      <c r="C215" s="1">
        <f t="shared" ca="1" si="20"/>
        <v>0</v>
      </c>
      <c r="D215" s="1" t="str">
        <f t="shared" ca="1" si="21"/>
        <v>Homme</v>
      </c>
      <c r="E215" s="1">
        <f t="shared" ca="1" si="22"/>
        <v>3</v>
      </c>
      <c r="F215" s="1" t="str">
        <f t="shared" ca="1" si="23"/>
        <v>Ne se prononce pas</v>
      </c>
    </row>
    <row r="216" spans="1:6" x14ac:dyDescent="0.25">
      <c r="A216" s="1">
        <f t="shared" si="24"/>
        <v>215</v>
      </c>
      <c r="B216" s="1">
        <f t="shared" ca="1" si="19"/>
        <v>30</v>
      </c>
      <c r="C216" s="1">
        <f t="shared" ca="1" si="20"/>
        <v>0</v>
      </c>
      <c r="D216" s="1" t="str">
        <f t="shared" ca="1" si="21"/>
        <v>Homme</v>
      </c>
      <c r="E216" s="1">
        <f t="shared" ca="1" si="22"/>
        <v>2</v>
      </c>
      <c r="F216" s="1" t="str">
        <f t="shared" ca="1" si="23"/>
        <v>Défavorable</v>
      </c>
    </row>
    <row r="217" spans="1:6" x14ac:dyDescent="0.25">
      <c r="A217" s="1">
        <f t="shared" si="24"/>
        <v>216</v>
      </c>
      <c r="B217" s="1">
        <f t="shared" ca="1" si="19"/>
        <v>46</v>
      </c>
      <c r="C217" s="1">
        <f t="shared" ca="1" si="20"/>
        <v>1</v>
      </c>
      <c r="D217" s="1" t="str">
        <f t="shared" ca="1" si="21"/>
        <v>Femme</v>
      </c>
      <c r="E217" s="1">
        <f t="shared" ca="1" si="22"/>
        <v>2</v>
      </c>
      <c r="F217" s="1" t="str">
        <f t="shared" ca="1" si="23"/>
        <v>Défavorable</v>
      </c>
    </row>
    <row r="218" spans="1:6" x14ac:dyDescent="0.25">
      <c r="A218" s="1">
        <f t="shared" si="24"/>
        <v>217</v>
      </c>
      <c r="B218" s="1">
        <f t="shared" ca="1" si="19"/>
        <v>47</v>
      </c>
      <c r="C218" s="1">
        <f t="shared" ca="1" si="20"/>
        <v>1</v>
      </c>
      <c r="D218" s="1" t="str">
        <f t="shared" ca="1" si="21"/>
        <v>Femme</v>
      </c>
      <c r="E218" s="1">
        <f t="shared" ca="1" si="22"/>
        <v>2</v>
      </c>
      <c r="F218" s="1" t="str">
        <f t="shared" ca="1" si="23"/>
        <v>Défavorable</v>
      </c>
    </row>
    <row r="219" spans="1:6" x14ac:dyDescent="0.25">
      <c r="A219" s="1">
        <f t="shared" si="24"/>
        <v>218</v>
      </c>
      <c r="B219" s="1">
        <f t="shared" ca="1" si="19"/>
        <v>42</v>
      </c>
      <c r="C219" s="1">
        <f t="shared" ca="1" si="20"/>
        <v>0</v>
      </c>
      <c r="D219" s="1" t="str">
        <f t="shared" ca="1" si="21"/>
        <v>Homme</v>
      </c>
      <c r="E219" s="1">
        <f t="shared" ca="1" si="22"/>
        <v>2</v>
      </c>
      <c r="F219" s="1" t="str">
        <f t="shared" ca="1" si="23"/>
        <v>Défavorable</v>
      </c>
    </row>
    <row r="220" spans="1:6" x14ac:dyDescent="0.25">
      <c r="A220" s="1">
        <f t="shared" si="24"/>
        <v>219</v>
      </c>
      <c r="B220" s="1">
        <f t="shared" ca="1" si="19"/>
        <v>30</v>
      </c>
      <c r="C220" s="1">
        <f t="shared" ca="1" si="20"/>
        <v>0</v>
      </c>
      <c r="D220" s="1" t="str">
        <f t="shared" ca="1" si="21"/>
        <v>Homme</v>
      </c>
      <c r="E220" s="1">
        <f t="shared" ca="1" si="22"/>
        <v>2</v>
      </c>
      <c r="F220" s="1" t="str">
        <f t="shared" ca="1" si="23"/>
        <v>Défavorable</v>
      </c>
    </row>
    <row r="221" spans="1:6" x14ac:dyDescent="0.25">
      <c r="A221" s="1">
        <f t="shared" si="24"/>
        <v>220</v>
      </c>
      <c r="B221" s="1">
        <f t="shared" ca="1" si="19"/>
        <v>44</v>
      </c>
      <c r="C221" s="1">
        <f t="shared" ca="1" si="20"/>
        <v>1</v>
      </c>
      <c r="D221" s="1" t="str">
        <f t="shared" ca="1" si="21"/>
        <v>Femme</v>
      </c>
      <c r="E221" s="1">
        <f t="shared" ca="1" si="22"/>
        <v>3</v>
      </c>
      <c r="F221" s="1" t="str">
        <f t="shared" ca="1" si="23"/>
        <v>Ne se prononce pas</v>
      </c>
    </row>
    <row r="222" spans="1:6" x14ac:dyDescent="0.25">
      <c r="A222" s="1">
        <f t="shared" si="24"/>
        <v>221</v>
      </c>
      <c r="B222" s="1">
        <f t="shared" ca="1" si="19"/>
        <v>33</v>
      </c>
      <c r="C222" s="1">
        <f t="shared" ca="1" si="20"/>
        <v>0</v>
      </c>
      <c r="D222" s="1" t="str">
        <f t="shared" ca="1" si="21"/>
        <v>Homme</v>
      </c>
      <c r="E222" s="1">
        <f t="shared" ca="1" si="22"/>
        <v>2</v>
      </c>
      <c r="F222" s="1" t="str">
        <f t="shared" ca="1" si="23"/>
        <v>Défavorable</v>
      </c>
    </row>
    <row r="223" spans="1:6" x14ac:dyDescent="0.25">
      <c r="A223" s="1">
        <f t="shared" si="24"/>
        <v>222</v>
      </c>
      <c r="B223" s="1">
        <f t="shared" ca="1" si="19"/>
        <v>47</v>
      </c>
      <c r="C223" s="1">
        <f t="shared" ca="1" si="20"/>
        <v>1</v>
      </c>
      <c r="D223" s="1" t="str">
        <f t="shared" ca="1" si="21"/>
        <v>Femme</v>
      </c>
      <c r="E223" s="1">
        <f t="shared" ca="1" si="22"/>
        <v>2</v>
      </c>
      <c r="F223" s="1" t="str">
        <f t="shared" ca="1" si="23"/>
        <v>Défavorable</v>
      </c>
    </row>
    <row r="224" spans="1:6" x14ac:dyDescent="0.25">
      <c r="A224" s="1">
        <f t="shared" si="24"/>
        <v>223</v>
      </c>
      <c r="B224" s="1">
        <f t="shared" ca="1" si="19"/>
        <v>34</v>
      </c>
      <c r="C224" s="1">
        <f t="shared" ca="1" si="20"/>
        <v>1</v>
      </c>
      <c r="D224" s="1" t="str">
        <f t="shared" ca="1" si="21"/>
        <v>Femme</v>
      </c>
      <c r="E224" s="1">
        <f t="shared" ca="1" si="22"/>
        <v>3</v>
      </c>
      <c r="F224" s="1" t="str">
        <f t="shared" ca="1" si="23"/>
        <v>Ne se prononce pas</v>
      </c>
    </row>
    <row r="225" spans="1:6" x14ac:dyDescent="0.25">
      <c r="A225" s="1">
        <f t="shared" si="24"/>
        <v>224</v>
      </c>
      <c r="B225" s="1">
        <f t="shared" ca="1" si="19"/>
        <v>46</v>
      </c>
      <c r="C225" s="1">
        <f t="shared" ca="1" si="20"/>
        <v>0</v>
      </c>
      <c r="D225" s="1" t="str">
        <f t="shared" ca="1" si="21"/>
        <v>Homme</v>
      </c>
      <c r="E225" s="1">
        <f t="shared" ca="1" si="22"/>
        <v>3</v>
      </c>
      <c r="F225" s="1" t="str">
        <f t="shared" ca="1" si="23"/>
        <v>Ne se prononce pas</v>
      </c>
    </row>
    <row r="226" spans="1:6" x14ac:dyDescent="0.25">
      <c r="A226" s="1">
        <f t="shared" si="24"/>
        <v>225</v>
      </c>
      <c r="B226" s="1">
        <f t="shared" ca="1" si="19"/>
        <v>37</v>
      </c>
      <c r="C226" s="1">
        <f t="shared" ca="1" si="20"/>
        <v>0</v>
      </c>
      <c r="D226" s="1" t="str">
        <f t="shared" ca="1" si="21"/>
        <v>Homme</v>
      </c>
      <c r="E226" s="1">
        <f t="shared" ca="1" si="22"/>
        <v>3</v>
      </c>
      <c r="F226" s="1" t="str">
        <f t="shared" ca="1" si="23"/>
        <v>Ne se prononce pas</v>
      </c>
    </row>
    <row r="227" spans="1:6" x14ac:dyDescent="0.25">
      <c r="A227" s="1">
        <f t="shared" si="24"/>
        <v>226</v>
      </c>
      <c r="B227" s="1">
        <f t="shared" ca="1" si="19"/>
        <v>42</v>
      </c>
      <c r="C227" s="1">
        <f t="shared" ca="1" si="20"/>
        <v>1</v>
      </c>
      <c r="D227" s="1" t="str">
        <f t="shared" ca="1" si="21"/>
        <v>Femme</v>
      </c>
      <c r="E227" s="1">
        <f t="shared" ca="1" si="22"/>
        <v>3</v>
      </c>
      <c r="F227" s="1" t="str">
        <f t="shared" ca="1" si="23"/>
        <v>Ne se prononce pas</v>
      </c>
    </row>
    <row r="228" spans="1:6" x14ac:dyDescent="0.25">
      <c r="A228" s="1">
        <f t="shared" si="24"/>
        <v>227</v>
      </c>
      <c r="B228" s="1">
        <f t="shared" ca="1" si="19"/>
        <v>38</v>
      </c>
      <c r="C228" s="1">
        <f t="shared" ca="1" si="20"/>
        <v>0</v>
      </c>
      <c r="D228" s="1" t="str">
        <f t="shared" ca="1" si="21"/>
        <v>Homme</v>
      </c>
      <c r="E228" s="1">
        <f t="shared" ca="1" si="22"/>
        <v>1</v>
      </c>
      <c r="F228" s="1" t="str">
        <f t="shared" ca="1" si="23"/>
        <v>Favorable</v>
      </c>
    </row>
    <row r="229" spans="1:6" x14ac:dyDescent="0.25">
      <c r="A229" s="1">
        <f t="shared" si="24"/>
        <v>228</v>
      </c>
      <c r="B229" s="1">
        <f t="shared" ca="1" si="19"/>
        <v>44</v>
      </c>
      <c r="C229" s="1">
        <f t="shared" ca="1" si="20"/>
        <v>1</v>
      </c>
      <c r="D229" s="1" t="str">
        <f t="shared" ca="1" si="21"/>
        <v>Femme</v>
      </c>
      <c r="E229" s="1">
        <f t="shared" ca="1" si="22"/>
        <v>2</v>
      </c>
      <c r="F229" s="1" t="str">
        <f t="shared" ca="1" si="23"/>
        <v>Défavorable</v>
      </c>
    </row>
    <row r="230" spans="1:6" x14ac:dyDescent="0.25">
      <c r="A230" s="1">
        <f t="shared" si="24"/>
        <v>229</v>
      </c>
      <c r="B230" s="1">
        <f t="shared" ca="1" si="19"/>
        <v>37</v>
      </c>
      <c r="C230" s="1">
        <f t="shared" ca="1" si="20"/>
        <v>0</v>
      </c>
      <c r="D230" s="1" t="str">
        <f t="shared" ca="1" si="21"/>
        <v>Homme</v>
      </c>
      <c r="E230" s="1">
        <f t="shared" ca="1" si="22"/>
        <v>1</v>
      </c>
      <c r="F230" s="1" t="str">
        <f t="shared" ca="1" si="23"/>
        <v>Favorable</v>
      </c>
    </row>
    <row r="231" spans="1:6" x14ac:dyDescent="0.25">
      <c r="A231" s="1">
        <f t="shared" si="24"/>
        <v>230</v>
      </c>
      <c r="B231" s="1">
        <f t="shared" ca="1" si="19"/>
        <v>45</v>
      </c>
      <c r="C231" s="1">
        <f t="shared" ca="1" si="20"/>
        <v>0</v>
      </c>
      <c r="D231" s="1" t="str">
        <f t="shared" ca="1" si="21"/>
        <v>Homme</v>
      </c>
      <c r="E231" s="1">
        <f t="shared" ca="1" si="22"/>
        <v>2</v>
      </c>
      <c r="F231" s="1" t="str">
        <f t="shared" ca="1" si="23"/>
        <v>Défavorable</v>
      </c>
    </row>
    <row r="232" spans="1:6" x14ac:dyDescent="0.25">
      <c r="A232" s="1">
        <f t="shared" si="24"/>
        <v>231</v>
      </c>
      <c r="B232" s="1">
        <f t="shared" ca="1" si="19"/>
        <v>38</v>
      </c>
      <c r="C232" s="1">
        <f t="shared" ca="1" si="20"/>
        <v>1</v>
      </c>
      <c r="D232" s="1" t="str">
        <f t="shared" ca="1" si="21"/>
        <v>Femme</v>
      </c>
      <c r="E232" s="1">
        <f t="shared" ca="1" si="22"/>
        <v>1</v>
      </c>
      <c r="F232" s="1" t="str">
        <f t="shared" ca="1" si="23"/>
        <v>Favorable</v>
      </c>
    </row>
    <row r="233" spans="1:6" x14ac:dyDescent="0.25">
      <c r="A233" s="1">
        <f t="shared" si="24"/>
        <v>232</v>
      </c>
      <c r="B233" s="1">
        <f t="shared" ca="1" si="19"/>
        <v>30</v>
      </c>
      <c r="C233" s="1">
        <f t="shared" ca="1" si="20"/>
        <v>0</v>
      </c>
      <c r="D233" s="1" t="str">
        <f t="shared" ca="1" si="21"/>
        <v>Homme</v>
      </c>
      <c r="E233" s="1">
        <f t="shared" ca="1" si="22"/>
        <v>1</v>
      </c>
      <c r="F233" s="1" t="str">
        <f t="shared" ca="1" si="23"/>
        <v>Favorable</v>
      </c>
    </row>
    <row r="234" spans="1:6" x14ac:dyDescent="0.25">
      <c r="A234" s="1">
        <f t="shared" si="24"/>
        <v>233</v>
      </c>
      <c r="B234" s="1">
        <f t="shared" ca="1" si="19"/>
        <v>37</v>
      </c>
      <c r="C234" s="1">
        <f t="shared" ca="1" si="20"/>
        <v>1</v>
      </c>
      <c r="D234" s="1" t="str">
        <f t="shared" ca="1" si="21"/>
        <v>Femme</v>
      </c>
      <c r="E234" s="1">
        <f t="shared" ca="1" si="22"/>
        <v>1</v>
      </c>
      <c r="F234" s="1" t="str">
        <f t="shared" ca="1" si="23"/>
        <v>Favorable</v>
      </c>
    </row>
    <row r="235" spans="1:6" x14ac:dyDescent="0.25">
      <c r="A235" s="1">
        <f t="shared" si="24"/>
        <v>234</v>
      </c>
      <c r="B235" s="1">
        <f t="shared" ca="1" si="19"/>
        <v>41</v>
      </c>
      <c r="C235" s="1">
        <f t="shared" ca="1" si="20"/>
        <v>1</v>
      </c>
      <c r="D235" s="1" t="str">
        <f t="shared" ca="1" si="21"/>
        <v>Femme</v>
      </c>
      <c r="E235" s="1">
        <f t="shared" ca="1" si="22"/>
        <v>3</v>
      </c>
      <c r="F235" s="1" t="str">
        <f t="shared" ca="1" si="23"/>
        <v>Ne se prononce pas</v>
      </c>
    </row>
    <row r="236" spans="1:6" x14ac:dyDescent="0.25">
      <c r="A236" s="1">
        <f t="shared" si="24"/>
        <v>235</v>
      </c>
      <c r="B236" s="1">
        <f t="shared" ca="1" si="19"/>
        <v>45</v>
      </c>
      <c r="C236" s="1">
        <f t="shared" ca="1" si="20"/>
        <v>1</v>
      </c>
      <c r="D236" s="1" t="str">
        <f t="shared" ca="1" si="21"/>
        <v>Femme</v>
      </c>
      <c r="E236" s="1">
        <f t="shared" ca="1" si="22"/>
        <v>2</v>
      </c>
      <c r="F236" s="1" t="str">
        <f t="shared" ca="1" si="23"/>
        <v>Défavorable</v>
      </c>
    </row>
    <row r="237" spans="1:6" x14ac:dyDescent="0.25">
      <c r="A237" s="1">
        <f t="shared" si="24"/>
        <v>236</v>
      </c>
      <c r="B237" s="1">
        <f t="shared" ca="1" si="19"/>
        <v>35</v>
      </c>
      <c r="C237" s="1">
        <f t="shared" ca="1" si="20"/>
        <v>1</v>
      </c>
      <c r="D237" s="1" t="str">
        <f t="shared" ca="1" si="21"/>
        <v>Femme</v>
      </c>
      <c r="E237" s="1">
        <f t="shared" ca="1" si="22"/>
        <v>3</v>
      </c>
      <c r="F237" s="1" t="str">
        <f t="shared" ca="1" si="23"/>
        <v>Ne se prononce pas</v>
      </c>
    </row>
    <row r="238" spans="1:6" x14ac:dyDescent="0.25">
      <c r="A238" s="1">
        <f t="shared" si="24"/>
        <v>237</v>
      </c>
      <c r="B238" s="1">
        <f t="shared" ca="1" si="19"/>
        <v>32</v>
      </c>
      <c r="C238" s="1">
        <f t="shared" ca="1" si="20"/>
        <v>1</v>
      </c>
      <c r="D238" s="1" t="str">
        <f t="shared" ca="1" si="21"/>
        <v>Femme</v>
      </c>
      <c r="E238" s="1">
        <f t="shared" ca="1" si="22"/>
        <v>3</v>
      </c>
      <c r="F238" s="1" t="str">
        <f t="shared" ca="1" si="23"/>
        <v>Ne se prononce pas</v>
      </c>
    </row>
    <row r="239" spans="1:6" x14ac:dyDescent="0.25">
      <c r="A239" s="1">
        <f t="shared" si="24"/>
        <v>238</v>
      </c>
      <c r="B239" s="1">
        <f t="shared" ca="1" si="19"/>
        <v>47</v>
      </c>
      <c r="C239" s="1">
        <f t="shared" ca="1" si="20"/>
        <v>1</v>
      </c>
      <c r="D239" s="1" t="str">
        <f t="shared" ca="1" si="21"/>
        <v>Femme</v>
      </c>
      <c r="E239" s="1">
        <f t="shared" ca="1" si="22"/>
        <v>1</v>
      </c>
      <c r="F239" s="1" t="str">
        <f t="shared" ca="1" si="23"/>
        <v>Favorable</v>
      </c>
    </row>
    <row r="240" spans="1:6" x14ac:dyDescent="0.25">
      <c r="A240" s="1">
        <f t="shared" si="24"/>
        <v>239</v>
      </c>
      <c r="B240" s="1">
        <f t="shared" ca="1" si="19"/>
        <v>31</v>
      </c>
      <c r="C240" s="1">
        <f t="shared" ca="1" si="20"/>
        <v>1</v>
      </c>
      <c r="D240" s="1" t="str">
        <f t="shared" ca="1" si="21"/>
        <v>Femme</v>
      </c>
      <c r="E240" s="1">
        <f t="shared" ca="1" si="22"/>
        <v>2</v>
      </c>
      <c r="F240" s="1" t="str">
        <f t="shared" ca="1" si="23"/>
        <v>Défavorable</v>
      </c>
    </row>
    <row r="241" spans="1:6" x14ac:dyDescent="0.25">
      <c r="A241" s="1">
        <f t="shared" si="24"/>
        <v>240</v>
      </c>
      <c r="B241" s="1">
        <f t="shared" ca="1" si="19"/>
        <v>39</v>
      </c>
      <c r="C241" s="1">
        <f t="shared" ca="1" si="20"/>
        <v>0</v>
      </c>
      <c r="D241" s="1" t="str">
        <f t="shared" ca="1" si="21"/>
        <v>Homme</v>
      </c>
      <c r="E241" s="1">
        <f t="shared" ca="1" si="22"/>
        <v>2</v>
      </c>
      <c r="F241" s="1" t="str">
        <f t="shared" ca="1" si="23"/>
        <v>Défavorable</v>
      </c>
    </row>
    <row r="242" spans="1:6" x14ac:dyDescent="0.25">
      <c r="A242" s="1">
        <f t="shared" si="24"/>
        <v>241</v>
      </c>
      <c r="B242" s="1">
        <f t="shared" ca="1" si="19"/>
        <v>33</v>
      </c>
      <c r="C242" s="1">
        <f t="shared" ca="1" si="20"/>
        <v>1</v>
      </c>
      <c r="D242" s="1" t="str">
        <f t="shared" ca="1" si="21"/>
        <v>Femme</v>
      </c>
      <c r="E242" s="1">
        <f t="shared" ca="1" si="22"/>
        <v>2</v>
      </c>
      <c r="F242" s="1" t="str">
        <f t="shared" ca="1" si="23"/>
        <v>Défavorable</v>
      </c>
    </row>
    <row r="243" spans="1:6" x14ac:dyDescent="0.25">
      <c r="A243" s="1">
        <f t="shared" si="24"/>
        <v>242</v>
      </c>
      <c r="B243" s="1">
        <f t="shared" ca="1" si="19"/>
        <v>34</v>
      </c>
      <c r="C243" s="1">
        <f t="shared" ca="1" si="20"/>
        <v>1</v>
      </c>
      <c r="D243" s="1" t="str">
        <f t="shared" ca="1" si="21"/>
        <v>Femme</v>
      </c>
      <c r="E243" s="1">
        <f t="shared" ca="1" si="22"/>
        <v>2</v>
      </c>
      <c r="F243" s="1" t="str">
        <f t="shared" ca="1" si="23"/>
        <v>Défavorable</v>
      </c>
    </row>
    <row r="244" spans="1:6" x14ac:dyDescent="0.25">
      <c r="A244" s="1">
        <f t="shared" si="24"/>
        <v>243</v>
      </c>
      <c r="B244" s="1">
        <f t="shared" ca="1" si="19"/>
        <v>31</v>
      </c>
      <c r="C244" s="1">
        <f t="shared" ca="1" si="20"/>
        <v>0</v>
      </c>
      <c r="D244" s="1" t="str">
        <f t="shared" ca="1" si="21"/>
        <v>Homme</v>
      </c>
      <c r="E244" s="1">
        <f t="shared" ca="1" si="22"/>
        <v>2</v>
      </c>
      <c r="F244" s="1" t="str">
        <f t="shared" ca="1" si="23"/>
        <v>Défavorable</v>
      </c>
    </row>
    <row r="245" spans="1:6" x14ac:dyDescent="0.25">
      <c r="A245" s="1">
        <f t="shared" si="24"/>
        <v>244</v>
      </c>
      <c r="B245" s="1">
        <f t="shared" ca="1" si="19"/>
        <v>30</v>
      </c>
      <c r="C245" s="1">
        <f t="shared" ca="1" si="20"/>
        <v>1</v>
      </c>
      <c r="D245" s="1" t="str">
        <f t="shared" ca="1" si="21"/>
        <v>Femme</v>
      </c>
      <c r="E245" s="1">
        <f t="shared" ca="1" si="22"/>
        <v>3</v>
      </c>
      <c r="F245" s="1" t="str">
        <f t="shared" ca="1" si="23"/>
        <v>Ne se prononce pas</v>
      </c>
    </row>
    <row r="246" spans="1:6" x14ac:dyDescent="0.25">
      <c r="A246" s="1">
        <f t="shared" si="24"/>
        <v>245</v>
      </c>
      <c r="B246" s="1">
        <f t="shared" ca="1" si="19"/>
        <v>32</v>
      </c>
      <c r="C246" s="1">
        <f t="shared" ca="1" si="20"/>
        <v>0</v>
      </c>
      <c r="D246" s="1" t="str">
        <f t="shared" ca="1" si="21"/>
        <v>Homme</v>
      </c>
      <c r="E246" s="1">
        <f t="shared" ca="1" si="22"/>
        <v>3</v>
      </c>
      <c r="F246" s="1" t="str">
        <f t="shared" ca="1" si="23"/>
        <v>Ne se prononce pas</v>
      </c>
    </row>
    <row r="247" spans="1:6" x14ac:dyDescent="0.25">
      <c r="A247" s="1">
        <f t="shared" si="24"/>
        <v>246</v>
      </c>
      <c r="B247" s="1">
        <f t="shared" ca="1" si="19"/>
        <v>45</v>
      </c>
      <c r="C247" s="1">
        <f t="shared" ca="1" si="20"/>
        <v>0</v>
      </c>
      <c r="D247" s="1" t="str">
        <f t="shared" ca="1" si="21"/>
        <v>Homme</v>
      </c>
      <c r="E247" s="1">
        <f t="shared" ca="1" si="22"/>
        <v>2</v>
      </c>
      <c r="F247" s="1" t="str">
        <f t="shared" ca="1" si="23"/>
        <v>Défavorable</v>
      </c>
    </row>
    <row r="248" spans="1:6" x14ac:dyDescent="0.25">
      <c r="A248" s="1">
        <f t="shared" si="24"/>
        <v>247</v>
      </c>
      <c r="B248" s="1">
        <f t="shared" ca="1" si="19"/>
        <v>47</v>
      </c>
      <c r="C248" s="1">
        <f t="shared" ca="1" si="20"/>
        <v>1</v>
      </c>
      <c r="D248" s="1" t="str">
        <f t="shared" ca="1" si="21"/>
        <v>Femme</v>
      </c>
      <c r="E248" s="1">
        <f t="shared" ca="1" si="22"/>
        <v>3</v>
      </c>
      <c r="F248" s="1" t="str">
        <f t="shared" ca="1" si="23"/>
        <v>Ne se prononce pas</v>
      </c>
    </row>
    <row r="249" spans="1:6" x14ac:dyDescent="0.25">
      <c r="A249" s="1">
        <f t="shared" si="24"/>
        <v>248</v>
      </c>
      <c r="B249" s="1">
        <f t="shared" ca="1" si="19"/>
        <v>39</v>
      </c>
      <c r="C249" s="1">
        <f t="shared" ca="1" si="20"/>
        <v>1</v>
      </c>
      <c r="D249" s="1" t="str">
        <f t="shared" ca="1" si="21"/>
        <v>Femme</v>
      </c>
      <c r="E249" s="1">
        <f t="shared" ca="1" si="22"/>
        <v>1</v>
      </c>
      <c r="F249" s="1" t="str">
        <f t="shared" ca="1" si="23"/>
        <v>Favorable</v>
      </c>
    </row>
    <row r="250" spans="1:6" x14ac:dyDescent="0.25">
      <c r="A250" s="1">
        <f t="shared" si="24"/>
        <v>249</v>
      </c>
      <c r="B250" s="1">
        <f t="shared" ca="1" si="19"/>
        <v>37</v>
      </c>
      <c r="C250" s="1">
        <f t="shared" ca="1" si="20"/>
        <v>0</v>
      </c>
      <c r="D250" s="1" t="str">
        <f t="shared" ca="1" si="21"/>
        <v>Homme</v>
      </c>
      <c r="E250" s="1">
        <f t="shared" ca="1" si="22"/>
        <v>3</v>
      </c>
      <c r="F250" s="1" t="str">
        <f t="shared" ca="1" si="23"/>
        <v>Ne se prononce pas</v>
      </c>
    </row>
    <row r="251" spans="1:6" x14ac:dyDescent="0.25">
      <c r="A251" s="1">
        <f t="shared" si="24"/>
        <v>250</v>
      </c>
      <c r="B251" s="1">
        <f t="shared" ca="1" si="19"/>
        <v>44</v>
      </c>
      <c r="C251" s="1">
        <f t="shared" ca="1" si="20"/>
        <v>0</v>
      </c>
      <c r="D251" s="1" t="str">
        <f t="shared" ca="1" si="21"/>
        <v>Homme</v>
      </c>
      <c r="E251" s="1">
        <f t="shared" ca="1" si="22"/>
        <v>1</v>
      </c>
      <c r="F251" s="1" t="str">
        <f t="shared" ca="1" si="23"/>
        <v>Favorable</v>
      </c>
    </row>
    <row r="252" spans="1:6" x14ac:dyDescent="0.25">
      <c r="A252" s="1">
        <f t="shared" si="24"/>
        <v>251</v>
      </c>
      <c r="B252" s="1">
        <f t="shared" ca="1" si="19"/>
        <v>34</v>
      </c>
      <c r="C252" s="1">
        <f t="shared" ca="1" si="20"/>
        <v>0</v>
      </c>
      <c r="D252" s="1" t="str">
        <f t="shared" ca="1" si="21"/>
        <v>Homme</v>
      </c>
      <c r="E252" s="1">
        <f t="shared" ca="1" si="22"/>
        <v>1</v>
      </c>
      <c r="F252" s="1" t="str">
        <f t="shared" ca="1" si="23"/>
        <v>Favorable</v>
      </c>
    </row>
    <row r="253" spans="1:6" x14ac:dyDescent="0.25">
      <c r="A253" s="1">
        <f t="shared" si="24"/>
        <v>252</v>
      </c>
      <c r="B253" s="1">
        <f t="shared" ca="1" si="19"/>
        <v>33</v>
      </c>
      <c r="C253" s="1">
        <f t="shared" ca="1" si="20"/>
        <v>1</v>
      </c>
      <c r="D253" s="1" t="str">
        <f t="shared" ca="1" si="21"/>
        <v>Femme</v>
      </c>
      <c r="E253" s="1">
        <f t="shared" ca="1" si="22"/>
        <v>2</v>
      </c>
      <c r="F253" s="1" t="str">
        <f t="shared" ca="1" si="23"/>
        <v>Défavorable</v>
      </c>
    </row>
    <row r="254" spans="1:6" x14ac:dyDescent="0.25">
      <c r="A254" s="1">
        <f t="shared" si="24"/>
        <v>253</v>
      </c>
      <c r="B254" s="1">
        <f t="shared" ca="1" si="19"/>
        <v>39</v>
      </c>
      <c r="C254" s="1">
        <f t="shared" ca="1" si="20"/>
        <v>0</v>
      </c>
      <c r="D254" s="1" t="str">
        <f t="shared" ca="1" si="21"/>
        <v>Homme</v>
      </c>
      <c r="E254" s="1">
        <f t="shared" ca="1" si="22"/>
        <v>2</v>
      </c>
      <c r="F254" s="1" t="str">
        <f t="shared" ca="1" si="23"/>
        <v>Défavorable</v>
      </c>
    </row>
    <row r="255" spans="1:6" x14ac:dyDescent="0.25">
      <c r="A255" s="1">
        <f t="shared" si="24"/>
        <v>254</v>
      </c>
      <c r="B255" s="1">
        <f t="shared" ca="1" si="19"/>
        <v>39</v>
      </c>
      <c r="C255" s="1">
        <f t="shared" ca="1" si="20"/>
        <v>1</v>
      </c>
      <c r="D255" s="1" t="str">
        <f t="shared" ca="1" si="21"/>
        <v>Femme</v>
      </c>
      <c r="E255" s="1">
        <f t="shared" ca="1" si="22"/>
        <v>1</v>
      </c>
      <c r="F255" s="1" t="str">
        <f t="shared" ca="1" si="23"/>
        <v>Favorable</v>
      </c>
    </row>
    <row r="256" spans="1:6" x14ac:dyDescent="0.25">
      <c r="A256" s="1">
        <f t="shared" si="24"/>
        <v>255</v>
      </c>
      <c r="B256" s="1">
        <f t="shared" ca="1" si="19"/>
        <v>39</v>
      </c>
      <c r="C256" s="1">
        <f t="shared" ca="1" si="20"/>
        <v>0</v>
      </c>
      <c r="D256" s="1" t="str">
        <f t="shared" ca="1" si="21"/>
        <v>Homme</v>
      </c>
      <c r="E256" s="1">
        <f t="shared" ca="1" si="22"/>
        <v>2</v>
      </c>
      <c r="F256" s="1" t="str">
        <f t="shared" ca="1" si="23"/>
        <v>Défavorable</v>
      </c>
    </row>
    <row r="257" spans="1:6" x14ac:dyDescent="0.25">
      <c r="A257" s="1">
        <f t="shared" si="24"/>
        <v>256</v>
      </c>
      <c r="B257" s="1">
        <f t="shared" ca="1" si="19"/>
        <v>48</v>
      </c>
      <c r="C257" s="1">
        <f t="shared" ca="1" si="20"/>
        <v>1</v>
      </c>
      <c r="D257" s="1" t="str">
        <f t="shared" ca="1" si="21"/>
        <v>Femme</v>
      </c>
      <c r="E257" s="1">
        <f t="shared" ca="1" si="22"/>
        <v>3</v>
      </c>
      <c r="F257" s="1" t="str">
        <f t="shared" ca="1" si="23"/>
        <v>Ne se prononce pas</v>
      </c>
    </row>
    <row r="258" spans="1:6" x14ac:dyDescent="0.25">
      <c r="A258" s="1">
        <f t="shared" si="24"/>
        <v>257</v>
      </c>
      <c r="B258" s="1">
        <f t="shared" ca="1" si="19"/>
        <v>50</v>
      </c>
      <c r="C258" s="1">
        <f t="shared" ca="1" si="20"/>
        <v>1</v>
      </c>
      <c r="D258" s="1" t="str">
        <f t="shared" ca="1" si="21"/>
        <v>Femme</v>
      </c>
      <c r="E258" s="1">
        <f t="shared" ca="1" si="22"/>
        <v>3</v>
      </c>
      <c r="F258" s="1" t="str">
        <f t="shared" ca="1" si="23"/>
        <v>Ne se prononce pas</v>
      </c>
    </row>
    <row r="259" spans="1:6" x14ac:dyDescent="0.25">
      <c r="A259" s="1">
        <f t="shared" si="24"/>
        <v>258</v>
      </c>
      <c r="B259" s="1">
        <f t="shared" ca="1" si="19"/>
        <v>49</v>
      </c>
      <c r="C259" s="1">
        <f t="shared" ca="1" si="20"/>
        <v>0</v>
      </c>
      <c r="D259" s="1" t="str">
        <f t="shared" ca="1" si="21"/>
        <v>Homme</v>
      </c>
      <c r="E259" s="1">
        <f t="shared" ca="1" si="22"/>
        <v>1</v>
      </c>
      <c r="F259" s="1" t="str">
        <f t="shared" ca="1" si="23"/>
        <v>Favorable</v>
      </c>
    </row>
    <row r="260" spans="1:6" x14ac:dyDescent="0.25">
      <c r="A260" s="1">
        <f t="shared" si="24"/>
        <v>259</v>
      </c>
      <c r="B260" s="1">
        <f t="shared" ca="1" si="19"/>
        <v>48</v>
      </c>
      <c r="C260" s="1">
        <f t="shared" ca="1" si="20"/>
        <v>0</v>
      </c>
      <c r="D260" s="1" t="str">
        <f t="shared" ca="1" si="21"/>
        <v>Homme</v>
      </c>
      <c r="E260" s="1">
        <f t="shared" ca="1" si="22"/>
        <v>3</v>
      </c>
      <c r="F260" s="1" t="str">
        <f t="shared" ca="1" si="23"/>
        <v>Ne se prononce pas</v>
      </c>
    </row>
    <row r="261" spans="1:6" x14ac:dyDescent="0.25">
      <c r="A261" s="1">
        <f t="shared" si="24"/>
        <v>260</v>
      </c>
      <c r="B261" s="1">
        <f t="shared" ca="1" si="19"/>
        <v>34</v>
      </c>
      <c r="C261" s="1">
        <f t="shared" ca="1" si="20"/>
        <v>0</v>
      </c>
      <c r="D261" s="1" t="str">
        <f t="shared" ca="1" si="21"/>
        <v>Homme</v>
      </c>
      <c r="E261" s="1">
        <f t="shared" ca="1" si="22"/>
        <v>3</v>
      </c>
      <c r="F261" s="1" t="str">
        <f t="shared" ca="1" si="23"/>
        <v>Ne se prononce pas</v>
      </c>
    </row>
    <row r="262" spans="1:6" x14ac:dyDescent="0.25">
      <c r="A262" s="1">
        <f t="shared" si="24"/>
        <v>261</v>
      </c>
      <c r="B262" s="1">
        <f t="shared" ca="1" si="19"/>
        <v>41</v>
      </c>
      <c r="C262" s="1">
        <f t="shared" ca="1" si="20"/>
        <v>1</v>
      </c>
      <c r="D262" s="1" t="str">
        <f t="shared" ca="1" si="21"/>
        <v>Femme</v>
      </c>
      <c r="E262" s="1">
        <f t="shared" ca="1" si="22"/>
        <v>1</v>
      </c>
      <c r="F262" s="1" t="str">
        <f t="shared" ca="1" si="23"/>
        <v>Favorable</v>
      </c>
    </row>
    <row r="263" spans="1:6" x14ac:dyDescent="0.25">
      <c r="A263" s="1">
        <f t="shared" si="24"/>
        <v>262</v>
      </c>
      <c r="B263" s="1">
        <f t="shared" ref="B263:B326" ca="1" si="25">RANDBETWEEN(30,50)</f>
        <v>33</v>
      </c>
      <c r="C263" s="1">
        <f t="shared" ref="C263:C326" ca="1" si="26">RANDBETWEEN(0,1)</f>
        <v>0</v>
      </c>
      <c r="D263" s="1" t="str">
        <f t="shared" ref="D263:D326" ca="1" si="27">IF(C263=0, "Homme", "Femme")</f>
        <v>Homme</v>
      </c>
      <c r="E263" s="1">
        <f t="shared" ref="E263:E326" ca="1" si="28">RANDBETWEEN(1,3)</f>
        <v>2</v>
      </c>
      <c r="F263" s="1" t="str">
        <f t="shared" ref="F263:F326" ca="1" si="29">IF(E263=1, "Favorable", IF(E263=2, "Défavorable", "Ne se prononce pas"))</f>
        <v>Défavorable</v>
      </c>
    </row>
    <row r="264" spans="1:6" x14ac:dyDescent="0.25">
      <c r="A264" s="1">
        <f t="shared" si="24"/>
        <v>263</v>
      </c>
      <c r="B264" s="1">
        <f t="shared" ca="1" si="25"/>
        <v>36</v>
      </c>
      <c r="C264" s="1">
        <f t="shared" ca="1" si="26"/>
        <v>1</v>
      </c>
      <c r="D264" s="1" t="str">
        <f t="shared" ca="1" si="27"/>
        <v>Femme</v>
      </c>
      <c r="E264" s="1">
        <f t="shared" ca="1" si="28"/>
        <v>1</v>
      </c>
      <c r="F264" s="1" t="str">
        <f t="shared" ca="1" si="29"/>
        <v>Favorable</v>
      </c>
    </row>
    <row r="265" spans="1:6" x14ac:dyDescent="0.25">
      <c r="A265" s="1">
        <f t="shared" si="24"/>
        <v>264</v>
      </c>
      <c r="B265" s="1">
        <f t="shared" ca="1" si="25"/>
        <v>36</v>
      </c>
      <c r="C265" s="1">
        <f t="shared" ca="1" si="26"/>
        <v>1</v>
      </c>
      <c r="D265" s="1" t="str">
        <f t="shared" ca="1" si="27"/>
        <v>Femme</v>
      </c>
      <c r="E265" s="1">
        <f t="shared" ca="1" si="28"/>
        <v>2</v>
      </c>
      <c r="F265" s="1" t="str">
        <f t="shared" ca="1" si="29"/>
        <v>Défavorable</v>
      </c>
    </row>
    <row r="266" spans="1:6" x14ac:dyDescent="0.25">
      <c r="A266" s="1">
        <f t="shared" si="24"/>
        <v>265</v>
      </c>
      <c r="B266" s="1">
        <f t="shared" ca="1" si="25"/>
        <v>39</v>
      </c>
      <c r="C266" s="1">
        <f t="shared" ca="1" si="26"/>
        <v>1</v>
      </c>
      <c r="D266" s="1" t="str">
        <f t="shared" ca="1" si="27"/>
        <v>Femme</v>
      </c>
      <c r="E266" s="1">
        <f t="shared" ca="1" si="28"/>
        <v>1</v>
      </c>
      <c r="F266" s="1" t="str">
        <f t="shared" ca="1" si="29"/>
        <v>Favorable</v>
      </c>
    </row>
    <row r="267" spans="1:6" x14ac:dyDescent="0.25">
      <c r="A267" s="1">
        <f t="shared" si="24"/>
        <v>266</v>
      </c>
      <c r="B267" s="1">
        <f t="shared" ca="1" si="25"/>
        <v>38</v>
      </c>
      <c r="C267" s="1">
        <f t="shared" ca="1" si="26"/>
        <v>1</v>
      </c>
      <c r="D267" s="1" t="str">
        <f t="shared" ca="1" si="27"/>
        <v>Femme</v>
      </c>
      <c r="E267" s="1">
        <f t="shared" ca="1" si="28"/>
        <v>1</v>
      </c>
      <c r="F267" s="1" t="str">
        <f t="shared" ca="1" si="29"/>
        <v>Favorable</v>
      </c>
    </row>
    <row r="268" spans="1:6" x14ac:dyDescent="0.25">
      <c r="A268" s="1">
        <f t="shared" si="24"/>
        <v>267</v>
      </c>
      <c r="B268" s="1">
        <f t="shared" ca="1" si="25"/>
        <v>30</v>
      </c>
      <c r="C268" s="1">
        <f t="shared" ca="1" si="26"/>
        <v>0</v>
      </c>
      <c r="D268" s="1" t="str">
        <f t="shared" ca="1" si="27"/>
        <v>Homme</v>
      </c>
      <c r="E268" s="1">
        <f t="shared" ca="1" si="28"/>
        <v>2</v>
      </c>
      <c r="F268" s="1" t="str">
        <f t="shared" ca="1" si="29"/>
        <v>Défavorable</v>
      </c>
    </row>
    <row r="269" spans="1:6" x14ac:dyDescent="0.25">
      <c r="A269" s="1">
        <f t="shared" si="24"/>
        <v>268</v>
      </c>
      <c r="B269" s="1">
        <f t="shared" ca="1" si="25"/>
        <v>43</v>
      </c>
      <c r="C269" s="1">
        <f t="shared" ca="1" si="26"/>
        <v>0</v>
      </c>
      <c r="D269" s="1" t="str">
        <f t="shared" ca="1" si="27"/>
        <v>Homme</v>
      </c>
      <c r="E269" s="1">
        <f t="shared" ca="1" si="28"/>
        <v>2</v>
      </c>
      <c r="F269" s="1" t="str">
        <f t="shared" ca="1" si="29"/>
        <v>Défavorable</v>
      </c>
    </row>
    <row r="270" spans="1:6" x14ac:dyDescent="0.25">
      <c r="A270" s="1">
        <f t="shared" si="24"/>
        <v>269</v>
      </c>
      <c r="B270" s="1">
        <f t="shared" ca="1" si="25"/>
        <v>42</v>
      </c>
      <c r="C270" s="1">
        <f t="shared" ca="1" si="26"/>
        <v>0</v>
      </c>
      <c r="D270" s="1" t="str">
        <f t="shared" ca="1" si="27"/>
        <v>Homme</v>
      </c>
      <c r="E270" s="1">
        <f t="shared" ca="1" si="28"/>
        <v>1</v>
      </c>
      <c r="F270" s="1" t="str">
        <f t="shared" ca="1" si="29"/>
        <v>Favorable</v>
      </c>
    </row>
    <row r="271" spans="1:6" x14ac:dyDescent="0.25">
      <c r="A271" s="1">
        <f t="shared" si="24"/>
        <v>270</v>
      </c>
      <c r="B271" s="1">
        <f t="shared" ca="1" si="25"/>
        <v>39</v>
      </c>
      <c r="C271" s="1">
        <f t="shared" ca="1" si="26"/>
        <v>1</v>
      </c>
      <c r="D271" s="1" t="str">
        <f t="shared" ca="1" si="27"/>
        <v>Femme</v>
      </c>
      <c r="E271" s="1">
        <f t="shared" ca="1" si="28"/>
        <v>3</v>
      </c>
      <c r="F271" s="1" t="str">
        <f t="shared" ca="1" si="29"/>
        <v>Ne se prononce pas</v>
      </c>
    </row>
    <row r="272" spans="1:6" x14ac:dyDescent="0.25">
      <c r="A272" s="1">
        <f t="shared" ref="A272:A317" si="30">A271+1</f>
        <v>271</v>
      </c>
      <c r="B272" s="1">
        <f t="shared" ca="1" si="25"/>
        <v>45</v>
      </c>
      <c r="C272" s="1">
        <f t="shared" ca="1" si="26"/>
        <v>0</v>
      </c>
      <c r="D272" s="1" t="str">
        <f t="shared" ca="1" si="27"/>
        <v>Homme</v>
      </c>
      <c r="E272" s="1">
        <f t="shared" ca="1" si="28"/>
        <v>2</v>
      </c>
      <c r="F272" s="1" t="str">
        <f t="shared" ca="1" si="29"/>
        <v>Défavorable</v>
      </c>
    </row>
    <row r="273" spans="1:6" x14ac:dyDescent="0.25">
      <c r="A273" s="1">
        <f t="shared" si="30"/>
        <v>272</v>
      </c>
      <c r="B273" s="1">
        <f t="shared" ca="1" si="25"/>
        <v>32</v>
      </c>
      <c r="C273" s="1">
        <f t="shared" ca="1" si="26"/>
        <v>0</v>
      </c>
      <c r="D273" s="1" t="str">
        <f t="shared" ca="1" si="27"/>
        <v>Homme</v>
      </c>
      <c r="E273" s="1">
        <f t="shared" ca="1" si="28"/>
        <v>3</v>
      </c>
      <c r="F273" s="1" t="str">
        <f t="shared" ca="1" si="29"/>
        <v>Ne se prononce pas</v>
      </c>
    </row>
    <row r="274" spans="1:6" x14ac:dyDescent="0.25">
      <c r="A274" s="1">
        <f t="shared" si="30"/>
        <v>273</v>
      </c>
      <c r="B274" s="1">
        <f t="shared" ca="1" si="25"/>
        <v>34</v>
      </c>
      <c r="C274" s="1">
        <f t="shared" ca="1" si="26"/>
        <v>0</v>
      </c>
      <c r="D274" s="1" t="str">
        <f t="shared" ca="1" si="27"/>
        <v>Homme</v>
      </c>
      <c r="E274" s="1">
        <f t="shared" ca="1" si="28"/>
        <v>1</v>
      </c>
      <c r="F274" s="1" t="str">
        <f t="shared" ca="1" si="29"/>
        <v>Favorable</v>
      </c>
    </row>
    <row r="275" spans="1:6" x14ac:dyDescent="0.25">
      <c r="A275" s="1">
        <f t="shared" si="30"/>
        <v>274</v>
      </c>
      <c r="B275" s="1">
        <f t="shared" ca="1" si="25"/>
        <v>43</v>
      </c>
      <c r="C275" s="1">
        <f t="shared" ca="1" si="26"/>
        <v>0</v>
      </c>
      <c r="D275" s="1" t="str">
        <f t="shared" ca="1" si="27"/>
        <v>Homme</v>
      </c>
      <c r="E275" s="1">
        <f t="shared" ca="1" si="28"/>
        <v>2</v>
      </c>
      <c r="F275" s="1" t="str">
        <f t="shared" ca="1" si="29"/>
        <v>Défavorable</v>
      </c>
    </row>
    <row r="276" spans="1:6" x14ac:dyDescent="0.25">
      <c r="A276" s="1">
        <f t="shared" si="30"/>
        <v>275</v>
      </c>
      <c r="B276" s="1">
        <f t="shared" ca="1" si="25"/>
        <v>49</v>
      </c>
      <c r="C276" s="1">
        <f t="shared" ca="1" si="26"/>
        <v>0</v>
      </c>
      <c r="D276" s="1" t="str">
        <f t="shared" ca="1" si="27"/>
        <v>Homme</v>
      </c>
      <c r="E276" s="1">
        <f t="shared" ca="1" si="28"/>
        <v>2</v>
      </c>
      <c r="F276" s="1" t="str">
        <f t="shared" ca="1" si="29"/>
        <v>Défavorable</v>
      </c>
    </row>
    <row r="277" spans="1:6" x14ac:dyDescent="0.25">
      <c r="A277" s="1">
        <f t="shared" si="30"/>
        <v>276</v>
      </c>
      <c r="B277" s="1">
        <f t="shared" ca="1" si="25"/>
        <v>36</v>
      </c>
      <c r="C277" s="1">
        <f t="shared" ca="1" si="26"/>
        <v>1</v>
      </c>
      <c r="D277" s="1" t="str">
        <f t="shared" ca="1" si="27"/>
        <v>Femme</v>
      </c>
      <c r="E277" s="1">
        <f t="shared" ca="1" si="28"/>
        <v>2</v>
      </c>
      <c r="F277" s="1" t="str">
        <f t="shared" ca="1" si="29"/>
        <v>Défavorable</v>
      </c>
    </row>
    <row r="278" spans="1:6" x14ac:dyDescent="0.25">
      <c r="A278" s="1">
        <f t="shared" si="30"/>
        <v>277</v>
      </c>
      <c r="B278" s="1">
        <f t="shared" ca="1" si="25"/>
        <v>48</v>
      </c>
      <c r="C278" s="1">
        <f t="shared" ca="1" si="26"/>
        <v>0</v>
      </c>
      <c r="D278" s="1" t="str">
        <f t="shared" ca="1" si="27"/>
        <v>Homme</v>
      </c>
      <c r="E278" s="1">
        <f t="shared" ca="1" si="28"/>
        <v>1</v>
      </c>
      <c r="F278" s="1" t="str">
        <f t="shared" ca="1" si="29"/>
        <v>Favorable</v>
      </c>
    </row>
    <row r="279" spans="1:6" x14ac:dyDescent="0.25">
      <c r="A279" s="1">
        <f t="shared" si="30"/>
        <v>278</v>
      </c>
      <c r="B279" s="1">
        <f t="shared" ca="1" si="25"/>
        <v>30</v>
      </c>
      <c r="C279" s="1">
        <f t="shared" ca="1" si="26"/>
        <v>1</v>
      </c>
      <c r="D279" s="1" t="str">
        <f t="shared" ca="1" si="27"/>
        <v>Femme</v>
      </c>
      <c r="E279" s="1">
        <f t="shared" ca="1" si="28"/>
        <v>3</v>
      </c>
      <c r="F279" s="1" t="str">
        <f t="shared" ca="1" si="29"/>
        <v>Ne se prononce pas</v>
      </c>
    </row>
    <row r="280" spans="1:6" x14ac:dyDescent="0.25">
      <c r="A280" s="1">
        <f t="shared" si="30"/>
        <v>279</v>
      </c>
      <c r="B280" s="1">
        <f t="shared" ca="1" si="25"/>
        <v>43</v>
      </c>
      <c r="C280" s="1">
        <f t="shared" ca="1" si="26"/>
        <v>1</v>
      </c>
      <c r="D280" s="1" t="str">
        <f t="shared" ca="1" si="27"/>
        <v>Femme</v>
      </c>
      <c r="E280" s="1">
        <f t="shared" ca="1" si="28"/>
        <v>1</v>
      </c>
      <c r="F280" s="1" t="str">
        <f t="shared" ca="1" si="29"/>
        <v>Favorable</v>
      </c>
    </row>
    <row r="281" spans="1:6" x14ac:dyDescent="0.25">
      <c r="A281" s="1">
        <f t="shared" si="30"/>
        <v>280</v>
      </c>
      <c r="B281" s="1">
        <f t="shared" ca="1" si="25"/>
        <v>33</v>
      </c>
      <c r="C281" s="1">
        <f t="shared" ca="1" si="26"/>
        <v>1</v>
      </c>
      <c r="D281" s="1" t="str">
        <f t="shared" ca="1" si="27"/>
        <v>Femme</v>
      </c>
      <c r="E281" s="1">
        <f t="shared" ca="1" si="28"/>
        <v>2</v>
      </c>
      <c r="F281" s="1" t="str">
        <f t="shared" ca="1" si="29"/>
        <v>Défavorable</v>
      </c>
    </row>
    <row r="282" spans="1:6" x14ac:dyDescent="0.25">
      <c r="A282" s="1">
        <f t="shared" si="30"/>
        <v>281</v>
      </c>
      <c r="B282" s="1">
        <f t="shared" ca="1" si="25"/>
        <v>37</v>
      </c>
      <c r="C282" s="1">
        <f t="shared" ca="1" si="26"/>
        <v>1</v>
      </c>
      <c r="D282" s="1" t="str">
        <f t="shared" ca="1" si="27"/>
        <v>Femme</v>
      </c>
      <c r="E282" s="1">
        <f t="shared" ca="1" si="28"/>
        <v>3</v>
      </c>
      <c r="F282" s="1" t="str">
        <f t="shared" ca="1" si="29"/>
        <v>Ne se prononce pas</v>
      </c>
    </row>
    <row r="283" spans="1:6" x14ac:dyDescent="0.25">
      <c r="A283" s="1">
        <f t="shared" si="30"/>
        <v>282</v>
      </c>
      <c r="B283" s="1">
        <f t="shared" ca="1" si="25"/>
        <v>34</v>
      </c>
      <c r="C283" s="1">
        <f t="shared" ca="1" si="26"/>
        <v>1</v>
      </c>
      <c r="D283" s="1" t="str">
        <f t="shared" ca="1" si="27"/>
        <v>Femme</v>
      </c>
      <c r="E283" s="1">
        <f t="shared" ca="1" si="28"/>
        <v>1</v>
      </c>
      <c r="F283" s="1" t="str">
        <f t="shared" ca="1" si="29"/>
        <v>Favorable</v>
      </c>
    </row>
    <row r="284" spans="1:6" x14ac:dyDescent="0.25">
      <c r="A284" s="1">
        <f t="shared" si="30"/>
        <v>283</v>
      </c>
      <c r="B284" s="1">
        <f t="shared" ca="1" si="25"/>
        <v>40</v>
      </c>
      <c r="C284" s="1">
        <f t="shared" ca="1" si="26"/>
        <v>0</v>
      </c>
      <c r="D284" s="1" t="str">
        <f t="shared" ca="1" si="27"/>
        <v>Homme</v>
      </c>
      <c r="E284" s="1">
        <f t="shared" ca="1" si="28"/>
        <v>3</v>
      </c>
      <c r="F284" s="1" t="str">
        <f t="shared" ca="1" si="29"/>
        <v>Ne se prononce pas</v>
      </c>
    </row>
    <row r="285" spans="1:6" x14ac:dyDescent="0.25">
      <c r="A285" s="1">
        <f t="shared" si="30"/>
        <v>284</v>
      </c>
      <c r="B285" s="1">
        <f t="shared" ca="1" si="25"/>
        <v>32</v>
      </c>
      <c r="C285" s="1">
        <f t="shared" ca="1" si="26"/>
        <v>0</v>
      </c>
      <c r="D285" s="1" t="str">
        <f t="shared" ca="1" si="27"/>
        <v>Homme</v>
      </c>
      <c r="E285" s="1">
        <f t="shared" ca="1" si="28"/>
        <v>3</v>
      </c>
      <c r="F285" s="1" t="str">
        <f t="shared" ca="1" si="29"/>
        <v>Ne se prononce pas</v>
      </c>
    </row>
    <row r="286" spans="1:6" x14ac:dyDescent="0.25">
      <c r="A286" s="1">
        <f t="shared" si="30"/>
        <v>285</v>
      </c>
      <c r="B286" s="1">
        <f t="shared" ca="1" si="25"/>
        <v>40</v>
      </c>
      <c r="C286" s="1">
        <f t="shared" ca="1" si="26"/>
        <v>1</v>
      </c>
      <c r="D286" s="1" t="str">
        <f t="shared" ca="1" si="27"/>
        <v>Femme</v>
      </c>
      <c r="E286" s="1">
        <f t="shared" ca="1" si="28"/>
        <v>3</v>
      </c>
      <c r="F286" s="1" t="str">
        <f t="shared" ca="1" si="29"/>
        <v>Ne se prononce pas</v>
      </c>
    </row>
    <row r="287" spans="1:6" x14ac:dyDescent="0.25">
      <c r="A287" s="1">
        <f t="shared" si="30"/>
        <v>286</v>
      </c>
      <c r="B287" s="1">
        <f t="shared" ca="1" si="25"/>
        <v>44</v>
      </c>
      <c r="C287" s="1">
        <f t="shared" ca="1" si="26"/>
        <v>0</v>
      </c>
      <c r="D287" s="1" t="str">
        <f t="shared" ca="1" si="27"/>
        <v>Homme</v>
      </c>
      <c r="E287" s="1">
        <f t="shared" ca="1" si="28"/>
        <v>1</v>
      </c>
      <c r="F287" s="1" t="str">
        <f t="shared" ca="1" si="29"/>
        <v>Favorable</v>
      </c>
    </row>
    <row r="288" spans="1:6" x14ac:dyDescent="0.25">
      <c r="A288" s="1">
        <f t="shared" si="30"/>
        <v>287</v>
      </c>
      <c r="B288" s="1">
        <f t="shared" ca="1" si="25"/>
        <v>31</v>
      </c>
      <c r="C288" s="1">
        <f t="shared" ca="1" si="26"/>
        <v>0</v>
      </c>
      <c r="D288" s="1" t="str">
        <f t="shared" ca="1" si="27"/>
        <v>Homme</v>
      </c>
      <c r="E288" s="1">
        <f t="shared" ca="1" si="28"/>
        <v>2</v>
      </c>
      <c r="F288" s="1" t="str">
        <f t="shared" ca="1" si="29"/>
        <v>Défavorable</v>
      </c>
    </row>
    <row r="289" spans="1:6" x14ac:dyDescent="0.25">
      <c r="A289" s="1">
        <f t="shared" si="30"/>
        <v>288</v>
      </c>
      <c r="B289" s="1">
        <f t="shared" ca="1" si="25"/>
        <v>37</v>
      </c>
      <c r="C289" s="1">
        <f t="shared" ca="1" si="26"/>
        <v>0</v>
      </c>
      <c r="D289" s="1" t="str">
        <f t="shared" ca="1" si="27"/>
        <v>Homme</v>
      </c>
      <c r="E289" s="1">
        <f t="shared" ca="1" si="28"/>
        <v>1</v>
      </c>
      <c r="F289" s="1" t="str">
        <f t="shared" ca="1" si="29"/>
        <v>Favorable</v>
      </c>
    </row>
    <row r="290" spans="1:6" x14ac:dyDescent="0.25">
      <c r="A290" s="1">
        <f t="shared" si="30"/>
        <v>289</v>
      </c>
      <c r="B290" s="1">
        <f t="shared" ca="1" si="25"/>
        <v>36</v>
      </c>
      <c r="C290" s="1">
        <f t="shared" ca="1" si="26"/>
        <v>0</v>
      </c>
      <c r="D290" s="1" t="str">
        <f t="shared" ca="1" si="27"/>
        <v>Homme</v>
      </c>
      <c r="E290" s="1">
        <f t="shared" ca="1" si="28"/>
        <v>3</v>
      </c>
      <c r="F290" s="1" t="str">
        <f t="shared" ca="1" si="29"/>
        <v>Ne se prononce pas</v>
      </c>
    </row>
    <row r="291" spans="1:6" x14ac:dyDescent="0.25">
      <c r="A291" s="1">
        <f t="shared" si="30"/>
        <v>290</v>
      </c>
      <c r="B291" s="1">
        <f t="shared" ca="1" si="25"/>
        <v>31</v>
      </c>
      <c r="C291" s="1">
        <f t="shared" ca="1" si="26"/>
        <v>0</v>
      </c>
      <c r="D291" s="1" t="str">
        <f t="shared" ca="1" si="27"/>
        <v>Homme</v>
      </c>
      <c r="E291" s="1">
        <f t="shared" ca="1" si="28"/>
        <v>3</v>
      </c>
      <c r="F291" s="1" t="str">
        <f t="shared" ca="1" si="29"/>
        <v>Ne se prononce pas</v>
      </c>
    </row>
    <row r="292" spans="1:6" x14ac:dyDescent="0.25">
      <c r="A292" s="1">
        <f t="shared" si="30"/>
        <v>291</v>
      </c>
      <c r="B292" s="1">
        <f t="shared" ca="1" si="25"/>
        <v>42</v>
      </c>
      <c r="C292" s="1">
        <f t="shared" ca="1" si="26"/>
        <v>0</v>
      </c>
      <c r="D292" s="1" t="str">
        <f t="shared" ca="1" si="27"/>
        <v>Homme</v>
      </c>
      <c r="E292" s="1">
        <f t="shared" ca="1" si="28"/>
        <v>1</v>
      </c>
      <c r="F292" s="1" t="str">
        <f t="shared" ca="1" si="29"/>
        <v>Favorable</v>
      </c>
    </row>
    <row r="293" spans="1:6" x14ac:dyDescent="0.25">
      <c r="A293" s="1">
        <f t="shared" si="30"/>
        <v>292</v>
      </c>
      <c r="B293" s="1">
        <f t="shared" ca="1" si="25"/>
        <v>33</v>
      </c>
      <c r="C293" s="1">
        <f t="shared" ca="1" si="26"/>
        <v>0</v>
      </c>
      <c r="D293" s="1" t="str">
        <f t="shared" ca="1" si="27"/>
        <v>Homme</v>
      </c>
      <c r="E293" s="1">
        <f t="shared" ca="1" si="28"/>
        <v>3</v>
      </c>
      <c r="F293" s="1" t="str">
        <f t="shared" ca="1" si="29"/>
        <v>Ne se prononce pas</v>
      </c>
    </row>
    <row r="294" spans="1:6" x14ac:dyDescent="0.25">
      <c r="A294" s="1">
        <f t="shared" si="30"/>
        <v>293</v>
      </c>
      <c r="B294" s="1">
        <f t="shared" ca="1" si="25"/>
        <v>35</v>
      </c>
      <c r="C294" s="1">
        <f t="shared" ca="1" si="26"/>
        <v>0</v>
      </c>
      <c r="D294" s="1" t="str">
        <f t="shared" ca="1" si="27"/>
        <v>Homme</v>
      </c>
      <c r="E294" s="1">
        <f t="shared" ca="1" si="28"/>
        <v>2</v>
      </c>
      <c r="F294" s="1" t="str">
        <f t="shared" ca="1" si="29"/>
        <v>Défavorable</v>
      </c>
    </row>
    <row r="295" spans="1:6" x14ac:dyDescent="0.25">
      <c r="A295" s="1">
        <f t="shared" si="30"/>
        <v>294</v>
      </c>
      <c r="B295" s="1">
        <f t="shared" ca="1" si="25"/>
        <v>42</v>
      </c>
      <c r="C295" s="1">
        <f t="shared" ca="1" si="26"/>
        <v>0</v>
      </c>
      <c r="D295" s="1" t="str">
        <f t="shared" ca="1" si="27"/>
        <v>Homme</v>
      </c>
      <c r="E295" s="1">
        <f t="shared" ca="1" si="28"/>
        <v>1</v>
      </c>
      <c r="F295" s="1" t="str">
        <f t="shared" ca="1" si="29"/>
        <v>Favorable</v>
      </c>
    </row>
    <row r="296" spans="1:6" x14ac:dyDescent="0.25">
      <c r="A296" s="1">
        <f t="shared" si="30"/>
        <v>295</v>
      </c>
      <c r="B296" s="1">
        <f t="shared" ca="1" si="25"/>
        <v>34</v>
      </c>
      <c r="C296" s="1">
        <f t="shared" ca="1" si="26"/>
        <v>0</v>
      </c>
      <c r="D296" s="1" t="str">
        <f t="shared" ca="1" si="27"/>
        <v>Homme</v>
      </c>
      <c r="E296" s="1">
        <f t="shared" ca="1" si="28"/>
        <v>3</v>
      </c>
      <c r="F296" s="1" t="str">
        <f t="shared" ca="1" si="29"/>
        <v>Ne se prononce pas</v>
      </c>
    </row>
    <row r="297" spans="1:6" x14ac:dyDescent="0.25">
      <c r="A297" s="1">
        <f t="shared" si="30"/>
        <v>296</v>
      </c>
      <c r="B297" s="1">
        <f t="shared" ca="1" si="25"/>
        <v>43</v>
      </c>
      <c r="C297" s="1">
        <f t="shared" ca="1" si="26"/>
        <v>1</v>
      </c>
      <c r="D297" s="1" t="str">
        <f t="shared" ca="1" si="27"/>
        <v>Femme</v>
      </c>
      <c r="E297" s="1">
        <f t="shared" ca="1" si="28"/>
        <v>1</v>
      </c>
      <c r="F297" s="1" t="str">
        <f t="shared" ca="1" si="29"/>
        <v>Favorable</v>
      </c>
    </row>
    <row r="298" spans="1:6" x14ac:dyDescent="0.25">
      <c r="A298" s="1">
        <f t="shared" si="30"/>
        <v>297</v>
      </c>
      <c r="B298" s="1">
        <f t="shared" ca="1" si="25"/>
        <v>43</v>
      </c>
      <c r="C298" s="1">
        <f t="shared" ca="1" si="26"/>
        <v>0</v>
      </c>
      <c r="D298" s="1" t="str">
        <f t="shared" ca="1" si="27"/>
        <v>Homme</v>
      </c>
      <c r="E298" s="1">
        <f t="shared" ca="1" si="28"/>
        <v>3</v>
      </c>
      <c r="F298" s="1" t="str">
        <f t="shared" ca="1" si="29"/>
        <v>Ne se prononce pas</v>
      </c>
    </row>
    <row r="299" spans="1:6" x14ac:dyDescent="0.25">
      <c r="A299" s="1">
        <f t="shared" si="30"/>
        <v>298</v>
      </c>
      <c r="B299" s="1">
        <f t="shared" ca="1" si="25"/>
        <v>36</v>
      </c>
      <c r="C299" s="1">
        <f t="shared" ca="1" si="26"/>
        <v>0</v>
      </c>
      <c r="D299" s="1" t="str">
        <f t="shared" ca="1" si="27"/>
        <v>Homme</v>
      </c>
      <c r="E299" s="1">
        <f t="shared" ca="1" si="28"/>
        <v>3</v>
      </c>
      <c r="F299" s="1" t="str">
        <f t="shared" ca="1" si="29"/>
        <v>Ne se prononce pas</v>
      </c>
    </row>
    <row r="300" spans="1:6" x14ac:dyDescent="0.25">
      <c r="A300" s="1">
        <f t="shared" si="30"/>
        <v>299</v>
      </c>
      <c r="B300" s="1">
        <f t="shared" ca="1" si="25"/>
        <v>34</v>
      </c>
      <c r="C300" s="1">
        <f t="shared" ca="1" si="26"/>
        <v>1</v>
      </c>
      <c r="D300" s="1" t="str">
        <f t="shared" ca="1" si="27"/>
        <v>Femme</v>
      </c>
      <c r="E300" s="1">
        <f t="shared" ca="1" si="28"/>
        <v>2</v>
      </c>
      <c r="F300" s="1" t="str">
        <f t="shared" ca="1" si="29"/>
        <v>Défavorable</v>
      </c>
    </row>
    <row r="301" spans="1:6" x14ac:dyDescent="0.25">
      <c r="A301" s="1">
        <f t="shared" si="30"/>
        <v>300</v>
      </c>
      <c r="B301" s="1">
        <f t="shared" ca="1" si="25"/>
        <v>37</v>
      </c>
      <c r="C301" s="1">
        <f t="shared" ca="1" si="26"/>
        <v>1</v>
      </c>
      <c r="D301" s="1" t="str">
        <f t="shared" ca="1" si="27"/>
        <v>Femme</v>
      </c>
      <c r="E301" s="1">
        <f t="shared" ca="1" si="28"/>
        <v>2</v>
      </c>
      <c r="F301" s="1" t="str">
        <f t="shared" ca="1" si="29"/>
        <v>Défavorable</v>
      </c>
    </row>
    <row r="302" spans="1:6" x14ac:dyDescent="0.25">
      <c r="A302" s="1">
        <f t="shared" si="30"/>
        <v>301</v>
      </c>
      <c r="B302" s="1">
        <f t="shared" ca="1" si="25"/>
        <v>31</v>
      </c>
      <c r="C302" s="1">
        <f t="shared" ca="1" si="26"/>
        <v>0</v>
      </c>
      <c r="D302" s="1" t="str">
        <f t="shared" ca="1" si="27"/>
        <v>Homme</v>
      </c>
      <c r="E302" s="1">
        <f t="shared" ca="1" si="28"/>
        <v>3</v>
      </c>
      <c r="F302" s="1" t="str">
        <f t="shared" ca="1" si="29"/>
        <v>Ne se prononce pas</v>
      </c>
    </row>
    <row r="303" spans="1:6" x14ac:dyDescent="0.25">
      <c r="A303" s="1">
        <f t="shared" si="30"/>
        <v>302</v>
      </c>
      <c r="B303" s="1">
        <f t="shared" ca="1" si="25"/>
        <v>42</v>
      </c>
      <c r="C303" s="1">
        <f t="shared" ca="1" si="26"/>
        <v>1</v>
      </c>
      <c r="D303" s="1" t="str">
        <f t="shared" ca="1" si="27"/>
        <v>Femme</v>
      </c>
      <c r="E303" s="1">
        <f t="shared" ca="1" si="28"/>
        <v>1</v>
      </c>
      <c r="F303" s="1" t="str">
        <f t="shared" ca="1" si="29"/>
        <v>Favorable</v>
      </c>
    </row>
    <row r="304" spans="1:6" x14ac:dyDescent="0.25">
      <c r="A304" s="1">
        <f t="shared" si="30"/>
        <v>303</v>
      </c>
      <c r="B304" s="1">
        <f t="shared" ca="1" si="25"/>
        <v>46</v>
      </c>
      <c r="C304" s="1">
        <f t="shared" ca="1" si="26"/>
        <v>0</v>
      </c>
      <c r="D304" s="1" t="str">
        <f t="shared" ca="1" si="27"/>
        <v>Homme</v>
      </c>
      <c r="E304" s="1">
        <f t="shared" ca="1" si="28"/>
        <v>2</v>
      </c>
      <c r="F304" s="1" t="str">
        <f t="shared" ca="1" si="29"/>
        <v>Défavorable</v>
      </c>
    </row>
    <row r="305" spans="1:6" x14ac:dyDescent="0.25">
      <c r="A305" s="1">
        <f t="shared" si="30"/>
        <v>304</v>
      </c>
      <c r="B305" s="1">
        <f t="shared" ca="1" si="25"/>
        <v>39</v>
      </c>
      <c r="C305" s="1">
        <f t="shared" ca="1" si="26"/>
        <v>1</v>
      </c>
      <c r="D305" s="1" t="str">
        <f t="shared" ca="1" si="27"/>
        <v>Femme</v>
      </c>
      <c r="E305" s="1">
        <f t="shared" ca="1" si="28"/>
        <v>3</v>
      </c>
      <c r="F305" s="1" t="str">
        <f t="shared" ca="1" si="29"/>
        <v>Ne se prononce pas</v>
      </c>
    </row>
    <row r="306" spans="1:6" x14ac:dyDescent="0.25">
      <c r="A306" s="1">
        <f t="shared" si="30"/>
        <v>305</v>
      </c>
      <c r="B306" s="1">
        <f t="shared" ca="1" si="25"/>
        <v>37</v>
      </c>
      <c r="C306" s="1">
        <f t="shared" ca="1" si="26"/>
        <v>0</v>
      </c>
      <c r="D306" s="1" t="str">
        <f t="shared" ca="1" si="27"/>
        <v>Homme</v>
      </c>
      <c r="E306" s="1">
        <f t="shared" ca="1" si="28"/>
        <v>2</v>
      </c>
      <c r="F306" s="1" t="str">
        <f t="shared" ca="1" si="29"/>
        <v>Défavorable</v>
      </c>
    </row>
    <row r="307" spans="1:6" x14ac:dyDescent="0.25">
      <c r="A307" s="1">
        <f t="shared" si="30"/>
        <v>306</v>
      </c>
      <c r="B307" s="1">
        <f t="shared" ca="1" si="25"/>
        <v>46</v>
      </c>
      <c r="C307" s="1">
        <f t="shared" ca="1" si="26"/>
        <v>0</v>
      </c>
      <c r="D307" s="1" t="str">
        <f t="shared" ca="1" si="27"/>
        <v>Homme</v>
      </c>
      <c r="E307" s="1">
        <f t="shared" ca="1" si="28"/>
        <v>1</v>
      </c>
      <c r="F307" s="1" t="str">
        <f t="shared" ca="1" si="29"/>
        <v>Favorable</v>
      </c>
    </row>
    <row r="308" spans="1:6" x14ac:dyDescent="0.25">
      <c r="A308" s="1">
        <f t="shared" si="30"/>
        <v>307</v>
      </c>
      <c r="B308" s="1">
        <f t="shared" ca="1" si="25"/>
        <v>34</v>
      </c>
      <c r="C308" s="1">
        <f t="shared" ca="1" si="26"/>
        <v>0</v>
      </c>
      <c r="D308" s="1" t="str">
        <f t="shared" ca="1" si="27"/>
        <v>Homme</v>
      </c>
      <c r="E308" s="1">
        <f t="shared" ca="1" si="28"/>
        <v>3</v>
      </c>
      <c r="F308" s="1" t="str">
        <f t="shared" ca="1" si="29"/>
        <v>Ne se prononce pas</v>
      </c>
    </row>
    <row r="309" spans="1:6" x14ac:dyDescent="0.25">
      <c r="A309" s="1">
        <f t="shared" si="30"/>
        <v>308</v>
      </c>
      <c r="B309" s="1">
        <f t="shared" ca="1" si="25"/>
        <v>37</v>
      </c>
      <c r="C309" s="1">
        <f t="shared" ca="1" si="26"/>
        <v>1</v>
      </c>
      <c r="D309" s="1" t="str">
        <f t="shared" ca="1" si="27"/>
        <v>Femme</v>
      </c>
      <c r="E309" s="1">
        <f t="shared" ca="1" si="28"/>
        <v>2</v>
      </c>
      <c r="F309" s="1" t="str">
        <f t="shared" ca="1" si="29"/>
        <v>Défavorable</v>
      </c>
    </row>
    <row r="310" spans="1:6" x14ac:dyDescent="0.25">
      <c r="A310" s="1">
        <f t="shared" si="30"/>
        <v>309</v>
      </c>
      <c r="B310" s="1">
        <f t="shared" ca="1" si="25"/>
        <v>37</v>
      </c>
      <c r="C310" s="1">
        <f t="shared" ca="1" si="26"/>
        <v>0</v>
      </c>
      <c r="D310" s="1" t="str">
        <f t="shared" ca="1" si="27"/>
        <v>Homme</v>
      </c>
      <c r="E310" s="1">
        <f t="shared" ca="1" si="28"/>
        <v>3</v>
      </c>
      <c r="F310" s="1" t="str">
        <f t="shared" ca="1" si="29"/>
        <v>Ne se prononce pas</v>
      </c>
    </row>
    <row r="311" spans="1:6" x14ac:dyDescent="0.25">
      <c r="A311" s="1">
        <f t="shared" si="30"/>
        <v>310</v>
      </c>
      <c r="B311" s="1">
        <f t="shared" ca="1" si="25"/>
        <v>39</v>
      </c>
      <c r="C311" s="1">
        <f t="shared" ca="1" si="26"/>
        <v>1</v>
      </c>
      <c r="D311" s="1" t="str">
        <f t="shared" ca="1" si="27"/>
        <v>Femme</v>
      </c>
      <c r="E311" s="1">
        <f t="shared" ca="1" si="28"/>
        <v>1</v>
      </c>
      <c r="F311" s="1" t="str">
        <f t="shared" ca="1" si="29"/>
        <v>Favorable</v>
      </c>
    </row>
    <row r="312" spans="1:6" x14ac:dyDescent="0.25">
      <c r="A312" s="1">
        <f t="shared" si="30"/>
        <v>311</v>
      </c>
      <c r="B312" s="1">
        <f t="shared" ca="1" si="25"/>
        <v>44</v>
      </c>
      <c r="C312" s="1">
        <f t="shared" ca="1" si="26"/>
        <v>0</v>
      </c>
      <c r="D312" s="1" t="str">
        <f t="shared" ca="1" si="27"/>
        <v>Homme</v>
      </c>
      <c r="E312" s="1">
        <f t="shared" ca="1" si="28"/>
        <v>3</v>
      </c>
      <c r="F312" s="1" t="str">
        <f t="shared" ca="1" si="29"/>
        <v>Ne se prononce pas</v>
      </c>
    </row>
    <row r="313" spans="1:6" x14ac:dyDescent="0.25">
      <c r="A313" s="1">
        <f t="shared" si="30"/>
        <v>312</v>
      </c>
      <c r="B313" s="1">
        <f t="shared" ca="1" si="25"/>
        <v>49</v>
      </c>
      <c r="C313" s="1">
        <f t="shared" ca="1" si="26"/>
        <v>1</v>
      </c>
      <c r="D313" s="1" t="str">
        <f t="shared" ca="1" si="27"/>
        <v>Femme</v>
      </c>
      <c r="E313" s="1">
        <f t="shared" ca="1" si="28"/>
        <v>3</v>
      </c>
      <c r="F313" s="1" t="str">
        <f t="shared" ca="1" si="29"/>
        <v>Ne se prononce pas</v>
      </c>
    </row>
    <row r="314" spans="1:6" x14ac:dyDescent="0.25">
      <c r="A314" s="1">
        <f t="shared" si="30"/>
        <v>313</v>
      </c>
      <c r="B314" s="1">
        <f t="shared" ca="1" si="25"/>
        <v>32</v>
      </c>
      <c r="C314" s="1">
        <f t="shared" ca="1" si="26"/>
        <v>1</v>
      </c>
      <c r="D314" s="1" t="str">
        <f t="shared" ca="1" si="27"/>
        <v>Femme</v>
      </c>
      <c r="E314" s="1">
        <f t="shared" ca="1" si="28"/>
        <v>2</v>
      </c>
      <c r="F314" s="1" t="str">
        <f t="shared" ca="1" si="29"/>
        <v>Défavorable</v>
      </c>
    </row>
    <row r="315" spans="1:6" x14ac:dyDescent="0.25">
      <c r="A315" s="1">
        <f t="shared" si="30"/>
        <v>314</v>
      </c>
      <c r="B315" s="1">
        <f t="shared" ca="1" si="25"/>
        <v>35</v>
      </c>
      <c r="C315" s="1">
        <f t="shared" ca="1" si="26"/>
        <v>0</v>
      </c>
      <c r="D315" s="1" t="str">
        <f t="shared" ca="1" si="27"/>
        <v>Homme</v>
      </c>
      <c r="E315" s="1">
        <f t="shared" ca="1" si="28"/>
        <v>1</v>
      </c>
      <c r="F315" s="1" t="str">
        <f t="shared" ca="1" si="29"/>
        <v>Favorable</v>
      </c>
    </row>
    <row r="316" spans="1:6" x14ac:dyDescent="0.25">
      <c r="A316" s="1">
        <f t="shared" si="30"/>
        <v>315</v>
      </c>
      <c r="B316" s="1">
        <f t="shared" ca="1" si="25"/>
        <v>49</v>
      </c>
      <c r="C316" s="1">
        <f t="shared" ca="1" si="26"/>
        <v>0</v>
      </c>
      <c r="D316" s="1" t="str">
        <f t="shared" ca="1" si="27"/>
        <v>Homme</v>
      </c>
      <c r="E316" s="1">
        <f t="shared" ca="1" si="28"/>
        <v>3</v>
      </c>
      <c r="F316" s="1" t="str">
        <f t="shared" ca="1" si="29"/>
        <v>Ne se prononce pas</v>
      </c>
    </row>
    <row r="317" spans="1:6" x14ac:dyDescent="0.25">
      <c r="A317" s="1">
        <f t="shared" si="30"/>
        <v>316</v>
      </c>
      <c r="B317" s="1">
        <f t="shared" ca="1" si="25"/>
        <v>35</v>
      </c>
      <c r="C317" s="1">
        <f t="shared" ca="1" si="26"/>
        <v>1</v>
      </c>
      <c r="D317" s="1" t="str">
        <f t="shared" ca="1" si="27"/>
        <v>Femme</v>
      </c>
      <c r="E317" s="1">
        <f t="shared" ca="1" si="28"/>
        <v>2</v>
      </c>
      <c r="F317" s="1" t="str">
        <f t="shared" ca="1" si="29"/>
        <v>Défavorable</v>
      </c>
    </row>
    <row r="318" spans="1:6" x14ac:dyDescent="0.25">
      <c r="A318" s="1">
        <f t="shared" ref="A318:A353" si="31">A317+1</f>
        <v>317</v>
      </c>
      <c r="B318" s="1">
        <f t="shared" ca="1" si="25"/>
        <v>48</v>
      </c>
      <c r="C318" s="1">
        <f t="shared" ca="1" si="26"/>
        <v>1</v>
      </c>
      <c r="D318" s="1" t="str">
        <f t="shared" ca="1" si="27"/>
        <v>Femme</v>
      </c>
      <c r="E318" s="1">
        <f t="shared" ca="1" si="28"/>
        <v>2</v>
      </c>
      <c r="F318" s="1" t="str">
        <f t="shared" ca="1" si="29"/>
        <v>Défavorable</v>
      </c>
    </row>
    <row r="319" spans="1:6" x14ac:dyDescent="0.25">
      <c r="A319" s="1">
        <f t="shared" si="31"/>
        <v>318</v>
      </c>
      <c r="B319" s="1">
        <f t="shared" ca="1" si="25"/>
        <v>42</v>
      </c>
      <c r="C319" s="1">
        <f t="shared" ca="1" si="26"/>
        <v>0</v>
      </c>
      <c r="D319" s="1" t="str">
        <f t="shared" ca="1" si="27"/>
        <v>Homme</v>
      </c>
      <c r="E319" s="1">
        <f t="shared" ca="1" si="28"/>
        <v>2</v>
      </c>
      <c r="F319" s="1" t="str">
        <f t="shared" ca="1" si="29"/>
        <v>Défavorable</v>
      </c>
    </row>
    <row r="320" spans="1:6" x14ac:dyDescent="0.25">
      <c r="A320" s="1">
        <f t="shared" si="31"/>
        <v>319</v>
      </c>
      <c r="B320" s="1">
        <f t="shared" ca="1" si="25"/>
        <v>36</v>
      </c>
      <c r="C320" s="1">
        <f t="shared" ca="1" si="26"/>
        <v>1</v>
      </c>
      <c r="D320" s="1" t="str">
        <f t="shared" ca="1" si="27"/>
        <v>Femme</v>
      </c>
      <c r="E320" s="1">
        <f t="shared" ca="1" si="28"/>
        <v>2</v>
      </c>
      <c r="F320" s="1" t="str">
        <f t="shared" ca="1" si="29"/>
        <v>Défavorable</v>
      </c>
    </row>
    <row r="321" spans="1:6" x14ac:dyDescent="0.25">
      <c r="A321" s="1">
        <f t="shared" si="31"/>
        <v>320</v>
      </c>
      <c r="B321" s="1">
        <f t="shared" ca="1" si="25"/>
        <v>32</v>
      </c>
      <c r="C321" s="1">
        <f t="shared" ca="1" si="26"/>
        <v>1</v>
      </c>
      <c r="D321" s="1" t="str">
        <f t="shared" ca="1" si="27"/>
        <v>Femme</v>
      </c>
      <c r="E321" s="1">
        <f t="shared" ca="1" si="28"/>
        <v>2</v>
      </c>
      <c r="F321" s="1" t="str">
        <f t="shared" ca="1" si="29"/>
        <v>Défavorable</v>
      </c>
    </row>
    <row r="322" spans="1:6" x14ac:dyDescent="0.25">
      <c r="A322" s="1">
        <f t="shared" si="31"/>
        <v>321</v>
      </c>
      <c r="B322" s="1">
        <f t="shared" ca="1" si="25"/>
        <v>49</v>
      </c>
      <c r="C322" s="1">
        <f t="shared" ca="1" si="26"/>
        <v>0</v>
      </c>
      <c r="D322" s="1" t="str">
        <f t="shared" ca="1" si="27"/>
        <v>Homme</v>
      </c>
      <c r="E322" s="1">
        <f t="shared" ca="1" si="28"/>
        <v>2</v>
      </c>
      <c r="F322" s="1" t="str">
        <f t="shared" ca="1" si="29"/>
        <v>Défavorable</v>
      </c>
    </row>
    <row r="323" spans="1:6" x14ac:dyDescent="0.25">
      <c r="A323" s="1">
        <f t="shared" si="31"/>
        <v>322</v>
      </c>
      <c r="B323" s="1">
        <f t="shared" ca="1" si="25"/>
        <v>48</v>
      </c>
      <c r="C323" s="1">
        <f t="shared" ca="1" si="26"/>
        <v>0</v>
      </c>
      <c r="D323" s="1" t="str">
        <f t="shared" ca="1" si="27"/>
        <v>Homme</v>
      </c>
      <c r="E323" s="1">
        <f t="shared" ca="1" si="28"/>
        <v>1</v>
      </c>
      <c r="F323" s="1" t="str">
        <f t="shared" ca="1" si="29"/>
        <v>Favorable</v>
      </c>
    </row>
    <row r="324" spans="1:6" x14ac:dyDescent="0.25">
      <c r="A324" s="1">
        <f t="shared" si="31"/>
        <v>323</v>
      </c>
      <c r="B324" s="1">
        <f t="shared" ca="1" si="25"/>
        <v>41</v>
      </c>
      <c r="C324" s="1">
        <f t="shared" ca="1" si="26"/>
        <v>1</v>
      </c>
      <c r="D324" s="1" t="str">
        <f t="shared" ca="1" si="27"/>
        <v>Femme</v>
      </c>
      <c r="E324" s="1">
        <f t="shared" ca="1" si="28"/>
        <v>2</v>
      </c>
      <c r="F324" s="1" t="str">
        <f t="shared" ca="1" si="29"/>
        <v>Défavorable</v>
      </c>
    </row>
    <row r="325" spans="1:6" x14ac:dyDescent="0.25">
      <c r="A325" s="1">
        <f t="shared" si="31"/>
        <v>324</v>
      </c>
      <c r="B325" s="1">
        <f t="shared" ca="1" si="25"/>
        <v>34</v>
      </c>
      <c r="C325" s="1">
        <f t="shared" ca="1" si="26"/>
        <v>1</v>
      </c>
      <c r="D325" s="1" t="str">
        <f t="shared" ca="1" si="27"/>
        <v>Femme</v>
      </c>
      <c r="E325" s="1">
        <f t="shared" ca="1" si="28"/>
        <v>3</v>
      </c>
      <c r="F325" s="1" t="str">
        <f t="shared" ca="1" si="29"/>
        <v>Ne se prononce pas</v>
      </c>
    </row>
    <row r="326" spans="1:6" x14ac:dyDescent="0.25">
      <c r="A326" s="1">
        <f t="shared" si="31"/>
        <v>325</v>
      </c>
      <c r="B326" s="1">
        <f t="shared" ca="1" si="25"/>
        <v>34</v>
      </c>
      <c r="C326" s="1">
        <f t="shared" ca="1" si="26"/>
        <v>1</v>
      </c>
      <c r="D326" s="1" t="str">
        <f t="shared" ca="1" si="27"/>
        <v>Femme</v>
      </c>
      <c r="E326" s="1">
        <f t="shared" ca="1" si="28"/>
        <v>3</v>
      </c>
      <c r="F326" s="1" t="str">
        <f t="shared" ca="1" si="29"/>
        <v>Ne se prononce pas</v>
      </c>
    </row>
    <row r="327" spans="1:6" x14ac:dyDescent="0.25">
      <c r="A327" s="1">
        <f t="shared" si="31"/>
        <v>326</v>
      </c>
      <c r="B327" s="1">
        <f t="shared" ref="B327:B390" ca="1" si="32">RANDBETWEEN(30,50)</f>
        <v>37</v>
      </c>
      <c r="C327" s="1">
        <f t="shared" ref="C327:C390" ca="1" si="33">RANDBETWEEN(0,1)</f>
        <v>0</v>
      </c>
      <c r="D327" s="1" t="str">
        <f t="shared" ref="D327:D390" ca="1" si="34">IF(C327=0, "Homme", "Femme")</f>
        <v>Homme</v>
      </c>
      <c r="E327" s="1">
        <f t="shared" ref="E327:E390" ca="1" si="35">RANDBETWEEN(1,3)</f>
        <v>2</v>
      </c>
      <c r="F327" s="1" t="str">
        <f t="shared" ref="F327:F390" ca="1" si="36">IF(E327=1, "Favorable", IF(E327=2, "Défavorable", "Ne se prononce pas"))</f>
        <v>Défavorable</v>
      </c>
    </row>
    <row r="328" spans="1:6" x14ac:dyDescent="0.25">
      <c r="A328" s="1">
        <f t="shared" si="31"/>
        <v>327</v>
      </c>
      <c r="B328" s="1">
        <f t="shared" ca="1" si="32"/>
        <v>31</v>
      </c>
      <c r="C328" s="1">
        <f t="shared" ca="1" si="33"/>
        <v>0</v>
      </c>
      <c r="D328" s="1" t="str">
        <f t="shared" ca="1" si="34"/>
        <v>Homme</v>
      </c>
      <c r="E328" s="1">
        <f t="shared" ca="1" si="35"/>
        <v>1</v>
      </c>
      <c r="F328" s="1" t="str">
        <f t="shared" ca="1" si="36"/>
        <v>Favorable</v>
      </c>
    </row>
    <row r="329" spans="1:6" x14ac:dyDescent="0.25">
      <c r="A329" s="1">
        <f t="shared" si="31"/>
        <v>328</v>
      </c>
      <c r="B329" s="1">
        <f t="shared" ca="1" si="32"/>
        <v>35</v>
      </c>
      <c r="C329" s="1">
        <f t="shared" ca="1" si="33"/>
        <v>1</v>
      </c>
      <c r="D329" s="1" t="str">
        <f t="shared" ca="1" si="34"/>
        <v>Femme</v>
      </c>
      <c r="E329" s="1">
        <f t="shared" ca="1" si="35"/>
        <v>1</v>
      </c>
      <c r="F329" s="1" t="str">
        <f t="shared" ca="1" si="36"/>
        <v>Favorable</v>
      </c>
    </row>
    <row r="330" spans="1:6" x14ac:dyDescent="0.25">
      <c r="A330" s="1">
        <f t="shared" si="31"/>
        <v>329</v>
      </c>
      <c r="B330" s="1">
        <f t="shared" ca="1" si="32"/>
        <v>42</v>
      </c>
      <c r="C330" s="1">
        <f t="shared" ca="1" si="33"/>
        <v>1</v>
      </c>
      <c r="D330" s="1" t="str">
        <f t="shared" ca="1" si="34"/>
        <v>Femme</v>
      </c>
      <c r="E330" s="1">
        <f t="shared" ca="1" si="35"/>
        <v>2</v>
      </c>
      <c r="F330" s="1" t="str">
        <f t="shared" ca="1" si="36"/>
        <v>Défavorable</v>
      </c>
    </row>
    <row r="331" spans="1:6" x14ac:dyDescent="0.25">
      <c r="A331" s="1">
        <f t="shared" si="31"/>
        <v>330</v>
      </c>
      <c r="B331" s="1">
        <f t="shared" ca="1" si="32"/>
        <v>36</v>
      </c>
      <c r="C331" s="1">
        <f t="shared" ca="1" si="33"/>
        <v>1</v>
      </c>
      <c r="D331" s="1" t="str">
        <f t="shared" ca="1" si="34"/>
        <v>Femme</v>
      </c>
      <c r="E331" s="1">
        <f t="shared" ca="1" si="35"/>
        <v>2</v>
      </c>
      <c r="F331" s="1" t="str">
        <f t="shared" ca="1" si="36"/>
        <v>Défavorable</v>
      </c>
    </row>
    <row r="332" spans="1:6" x14ac:dyDescent="0.25">
      <c r="A332" s="1">
        <f t="shared" si="31"/>
        <v>331</v>
      </c>
      <c r="B332" s="1">
        <f t="shared" ca="1" si="32"/>
        <v>36</v>
      </c>
      <c r="C332" s="1">
        <f t="shared" ca="1" si="33"/>
        <v>0</v>
      </c>
      <c r="D332" s="1" t="str">
        <f t="shared" ca="1" si="34"/>
        <v>Homme</v>
      </c>
      <c r="E332" s="1">
        <f t="shared" ca="1" si="35"/>
        <v>1</v>
      </c>
      <c r="F332" s="1" t="str">
        <f t="shared" ca="1" si="36"/>
        <v>Favorable</v>
      </c>
    </row>
    <row r="333" spans="1:6" x14ac:dyDescent="0.25">
      <c r="A333" s="1">
        <f t="shared" si="31"/>
        <v>332</v>
      </c>
      <c r="B333" s="1">
        <f t="shared" ca="1" si="32"/>
        <v>40</v>
      </c>
      <c r="C333" s="1">
        <f t="shared" ca="1" si="33"/>
        <v>0</v>
      </c>
      <c r="D333" s="1" t="str">
        <f t="shared" ca="1" si="34"/>
        <v>Homme</v>
      </c>
      <c r="E333" s="1">
        <f t="shared" ca="1" si="35"/>
        <v>1</v>
      </c>
      <c r="F333" s="1" t="str">
        <f t="shared" ca="1" si="36"/>
        <v>Favorable</v>
      </c>
    </row>
    <row r="334" spans="1:6" x14ac:dyDescent="0.25">
      <c r="A334" s="1">
        <f t="shared" si="31"/>
        <v>333</v>
      </c>
      <c r="B334" s="1">
        <f t="shared" ca="1" si="32"/>
        <v>48</v>
      </c>
      <c r="C334" s="1">
        <f t="shared" ca="1" si="33"/>
        <v>1</v>
      </c>
      <c r="D334" s="1" t="str">
        <f t="shared" ca="1" si="34"/>
        <v>Femme</v>
      </c>
      <c r="E334" s="1">
        <f t="shared" ca="1" si="35"/>
        <v>1</v>
      </c>
      <c r="F334" s="1" t="str">
        <f t="shared" ca="1" si="36"/>
        <v>Favorable</v>
      </c>
    </row>
    <row r="335" spans="1:6" x14ac:dyDescent="0.25">
      <c r="A335" s="1">
        <f t="shared" si="31"/>
        <v>334</v>
      </c>
      <c r="B335" s="1">
        <f t="shared" ca="1" si="32"/>
        <v>41</v>
      </c>
      <c r="C335" s="1">
        <f t="shared" ca="1" si="33"/>
        <v>0</v>
      </c>
      <c r="D335" s="1" t="str">
        <f t="shared" ca="1" si="34"/>
        <v>Homme</v>
      </c>
      <c r="E335" s="1">
        <f t="shared" ca="1" si="35"/>
        <v>1</v>
      </c>
      <c r="F335" s="1" t="str">
        <f t="shared" ca="1" si="36"/>
        <v>Favorable</v>
      </c>
    </row>
    <row r="336" spans="1:6" x14ac:dyDescent="0.25">
      <c r="A336" s="1">
        <f t="shared" si="31"/>
        <v>335</v>
      </c>
      <c r="B336" s="1">
        <f t="shared" ca="1" si="32"/>
        <v>34</v>
      </c>
      <c r="C336" s="1">
        <f t="shared" ca="1" si="33"/>
        <v>0</v>
      </c>
      <c r="D336" s="1" t="str">
        <f t="shared" ca="1" si="34"/>
        <v>Homme</v>
      </c>
      <c r="E336" s="1">
        <f t="shared" ca="1" si="35"/>
        <v>3</v>
      </c>
      <c r="F336" s="1" t="str">
        <f t="shared" ca="1" si="36"/>
        <v>Ne se prononce pas</v>
      </c>
    </row>
    <row r="337" spans="1:6" x14ac:dyDescent="0.25">
      <c r="A337" s="1">
        <f t="shared" si="31"/>
        <v>336</v>
      </c>
      <c r="B337" s="1">
        <f t="shared" ca="1" si="32"/>
        <v>44</v>
      </c>
      <c r="C337" s="1">
        <f t="shared" ca="1" si="33"/>
        <v>1</v>
      </c>
      <c r="D337" s="1" t="str">
        <f t="shared" ca="1" si="34"/>
        <v>Femme</v>
      </c>
      <c r="E337" s="1">
        <f t="shared" ca="1" si="35"/>
        <v>1</v>
      </c>
      <c r="F337" s="1" t="str">
        <f t="shared" ca="1" si="36"/>
        <v>Favorable</v>
      </c>
    </row>
    <row r="338" spans="1:6" x14ac:dyDescent="0.25">
      <c r="A338" s="1">
        <f t="shared" si="31"/>
        <v>337</v>
      </c>
      <c r="B338" s="1">
        <f t="shared" ca="1" si="32"/>
        <v>39</v>
      </c>
      <c r="C338" s="1">
        <f t="shared" ca="1" si="33"/>
        <v>1</v>
      </c>
      <c r="D338" s="1" t="str">
        <f t="shared" ca="1" si="34"/>
        <v>Femme</v>
      </c>
      <c r="E338" s="1">
        <f t="shared" ca="1" si="35"/>
        <v>3</v>
      </c>
      <c r="F338" s="1" t="str">
        <f t="shared" ca="1" si="36"/>
        <v>Ne se prononce pas</v>
      </c>
    </row>
    <row r="339" spans="1:6" x14ac:dyDescent="0.25">
      <c r="A339" s="1">
        <f t="shared" si="31"/>
        <v>338</v>
      </c>
      <c r="B339" s="1">
        <f t="shared" ca="1" si="32"/>
        <v>43</v>
      </c>
      <c r="C339" s="1">
        <f t="shared" ca="1" si="33"/>
        <v>0</v>
      </c>
      <c r="D339" s="1" t="str">
        <f t="shared" ca="1" si="34"/>
        <v>Homme</v>
      </c>
      <c r="E339" s="1">
        <f t="shared" ca="1" si="35"/>
        <v>3</v>
      </c>
      <c r="F339" s="1" t="str">
        <f t="shared" ca="1" si="36"/>
        <v>Ne se prononce pas</v>
      </c>
    </row>
    <row r="340" spans="1:6" x14ac:dyDescent="0.25">
      <c r="A340" s="1">
        <f t="shared" si="31"/>
        <v>339</v>
      </c>
      <c r="B340" s="1">
        <f t="shared" ca="1" si="32"/>
        <v>37</v>
      </c>
      <c r="C340" s="1">
        <f t="shared" ca="1" si="33"/>
        <v>0</v>
      </c>
      <c r="D340" s="1" t="str">
        <f t="shared" ca="1" si="34"/>
        <v>Homme</v>
      </c>
      <c r="E340" s="1">
        <f t="shared" ca="1" si="35"/>
        <v>3</v>
      </c>
      <c r="F340" s="1" t="str">
        <f t="shared" ca="1" si="36"/>
        <v>Ne se prononce pas</v>
      </c>
    </row>
    <row r="341" spans="1:6" x14ac:dyDescent="0.25">
      <c r="A341" s="1">
        <f t="shared" si="31"/>
        <v>340</v>
      </c>
      <c r="B341" s="1">
        <f t="shared" ca="1" si="32"/>
        <v>42</v>
      </c>
      <c r="C341" s="1">
        <f t="shared" ca="1" si="33"/>
        <v>1</v>
      </c>
      <c r="D341" s="1" t="str">
        <f t="shared" ca="1" si="34"/>
        <v>Femme</v>
      </c>
      <c r="E341" s="1">
        <f t="shared" ca="1" si="35"/>
        <v>2</v>
      </c>
      <c r="F341" s="1" t="str">
        <f t="shared" ca="1" si="36"/>
        <v>Défavorable</v>
      </c>
    </row>
    <row r="342" spans="1:6" x14ac:dyDescent="0.25">
      <c r="A342" s="1">
        <f t="shared" si="31"/>
        <v>341</v>
      </c>
      <c r="B342" s="1">
        <f t="shared" ca="1" si="32"/>
        <v>34</v>
      </c>
      <c r="C342" s="1">
        <f t="shared" ca="1" si="33"/>
        <v>1</v>
      </c>
      <c r="D342" s="1" t="str">
        <f t="shared" ca="1" si="34"/>
        <v>Femme</v>
      </c>
      <c r="E342" s="1">
        <f t="shared" ca="1" si="35"/>
        <v>1</v>
      </c>
      <c r="F342" s="1" t="str">
        <f t="shared" ca="1" si="36"/>
        <v>Favorable</v>
      </c>
    </row>
    <row r="343" spans="1:6" x14ac:dyDescent="0.25">
      <c r="A343" s="1">
        <f t="shared" si="31"/>
        <v>342</v>
      </c>
      <c r="B343" s="1">
        <f t="shared" ca="1" si="32"/>
        <v>42</v>
      </c>
      <c r="C343" s="1">
        <f t="shared" ca="1" si="33"/>
        <v>1</v>
      </c>
      <c r="D343" s="1" t="str">
        <f t="shared" ca="1" si="34"/>
        <v>Femme</v>
      </c>
      <c r="E343" s="1">
        <f t="shared" ca="1" si="35"/>
        <v>1</v>
      </c>
      <c r="F343" s="1" t="str">
        <f t="shared" ca="1" si="36"/>
        <v>Favorable</v>
      </c>
    </row>
    <row r="344" spans="1:6" x14ac:dyDescent="0.25">
      <c r="A344" s="1">
        <f t="shared" si="31"/>
        <v>343</v>
      </c>
      <c r="B344" s="1">
        <f t="shared" ca="1" si="32"/>
        <v>41</v>
      </c>
      <c r="C344" s="1">
        <f t="shared" ca="1" si="33"/>
        <v>0</v>
      </c>
      <c r="D344" s="1" t="str">
        <f t="shared" ca="1" si="34"/>
        <v>Homme</v>
      </c>
      <c r="E344" s="1">
        <f t="shared" ca="1" si="35"/>
        <v>3</v>
      </c>
      <c r="F344" s="1" t="str">
        <f t="shared" ca="1" si="36"/>
        <v>Ne se prononce pas</v>
      </c>
    </row>
    <row r="345" spans="1:6" x14ac:dyDescent="0.25">
      <c r="A345" s="1">
        <f t="shared" si="31"/>
        <v>344</v>
      </c>
      <c r="B345" s="1">
        <f t="shared" ca="1" si="32"/>
        <v>35</v>
      </c>
      <c r="C345" s="1">
        <f t="shared" ca="1" si="33"/>
        <v>1</v>
      </c>
      <c r="D345" s="1" t="str">
        <f t="shared" ca="1" si="34"/>
        <v>Femme</v>
      </c>
      <c r="E345" s="1">
        <f t="shared" ca="1" si="35"/>
        <v>1</v>
      </c>
      <c r="F345" s="1" t="str">
        <f t="shared" ca="1" si="36"/>
        <v>Favorable</v>
      </c>
    </row>
    <row r="346" spans="1:6" x14ac:dyDescent="0.25">
      <c r="A346" s="1">
        <f t="shared" si="31"/>
        <v>345</v>
      </c>
      <c r="B346" s="1">
        <f t="shared" ca="1" si="32"/>
        <v>39</v>
      </c>
      <c r="C346" s="1">
        <f t="shared" ca="1" si="33"/>
        <v>0</v>
      </c>
      <c r="D346" s="1" t="str">
        <f t="shared" ca="1" si="34"/>
        <v>Homme</v>
      </c>
      <c r="E346" s="1">
        <f t="shared" ca="1" si="35"/>
        <v>2</v>
      </c>
      <c r="F346" s="1" t="str">
        <f t="shared" ca="1" si="36"/>
        <v>Défavorable</v>
      </c>
    </row>
    <row r="347" spans="1:6" x14ac:dyDescent="0.25">
      <c r="A347" s="1">
        <f t="shared" si="31"/>
        <v>346</v>
      </c>
      <c r="B347" s="1">
        <f t="shared" ca="1" si="32"/>
        <v>35</v>
      </c>
      <c r="C347" s="1">
        <f t="shared" ca="1" si="33"/>
        <v>0</v>
      </c>
      <c r="D347" s="1" t="str">
        <f t="shared" ca="1" si="34"/>
        <v>Homme</v>
      </c>
      <c r="E347" s="1">
        <f t="shared" ca="1" si="35"/>
        <v>2</v>
      </c>
      <c r="F347" s="1" t="str">
        <f t="shared" ca="1" si="36"/>
        <v>Défavorable</v>
      </c>
    </row>
    <row r="348" spans="1:6" x14ac:dyDescent="0.25">
      <c r="A348" s="1">
        <f t="shared" si="31"/>
        <v>347</v>
      </c>
      <c r="B348" s="1">
        <f t="shared" ca="1" si="32"/>
        <v>32</v>
      </c>
      <c r="C348" s="1">
        <f t="shared" ca="1" si="33"/>
        <v>1</v>
      </c>
      <c r="D348" s="1" t="str">
        <f t="shared" ca="1" si="34"/>
        <v>Femme</v>
      </c>
      <c r="E348" s="1">
        <f t="shared" ca="1" si="35"/>
        <v>2</v>
      </c>
      <c r="F348" s="1" t="str">
        <f t="shared" ca="1" si="36"/>
        <v>Défavorable</v>
      </c>
    </row>
    <row r="349" spans="1:6" x14ac:dyDescent="0.25">
      <c r="A349" s="1">
        <f t="shared" si="31"/>
        <v>348</v>
      </c>
      <c r="B349" s="1">
        <f t="shared" ca="1" si="32"/>
        <v>48</v>
      </c>
      <c r="C349" s="1">
        <f t="shared" ca="1" si="33"/>
        <v>1</v>
      </c>
      <c r="D349" s="1" t="str">
        <f t="shared" ca="1" si="34"/>
        <v>Femme</v>
      </c>
      <c r="E349" s="1">
        <f t="shared" ca="1" si="35"/>
        <v>1</v>
      </c>
      <c r="F349" s="1" t="str">
        <f t="shared" ca="1" si="36"/>
        <v>Favorable</v>
      </c>
    </row>
    <row r="350" spans="1:6" x14ac:dyDescent="0.25">
      <c r="A350" s="1">
        <f t="shared" si="31"/>
        <v>349</v>
      </c>
      <c r="B350" s="1">
        <f t="shared" ca="1" si="32"/>
        <v>31</v>
      </c>
      <c r="C350" s="1">
        <f t="shared" ca="1" si="33"/>
        <v>0</v>
      </c>
      <c r="D350" s="1" t="str">
        <f t="shared" ca="1" si="34"/>
        <v>Homme</v>
      </c>
      <c r="E350" s="1">
        <f t="shared" ca="1" si="35"/>
        <v>2</v>
      </c>
      <c r="F350" s="1" t="str">
        <f t="shared" ca="1" si="36"/>
        <v>Défavorable</v>
      </c>
    </row>
    <row r="351" spans="1:6" x14ac:dyDescent="0.25">
      <c r="A351" s="1">
        <f t="shared" si="31"/>
        <v>350</v>
      </c>
      <c r="B351" s="1">
        <f t="shared" ca="1" si="32"/>
        <v>33</v>
      </c>
      <c r="C351" s="1">
        <f t="shared" ca="1" si="33"/>
        <v>0</v>
      </c>
      <c r="D351" s="1" t="str">
        <f t="shared" ca="1" si="34"/>
        <v>Homme</v>
      </c>
      <c r="E351" s="1">
        <f t="shared" ca="1" si="35"/>
        <v>2</v>
      </c>
      <c r="F351" s="1" t="str">
        <f t="shared" ca="1" si="36"/>
        <v>Défavorable</v>
      </c>
    </row>
    <row r="352" spans="1:6" x14ac:dyDescent="0.25">
      <c r="A352" s="1">
        <f t="shared" si="31"/>
        <v>351</v>
      </c>
      <c r="B352" s="1">
        <f t="shared" ca="1" si="32"/>
        <v>43</v>
      </c>
      <c r="C352" s="1">
        <f t="shared" ca="1" si="33"/>
        <v>0</v>
      </c>
      <c r="D352" s="1" t="str">
        <f t="shared" ca="1" si="34"/>
        <v>Homme</v>
      </c>
      <c r="E352" s="1">
        <f t="shared" ca="1" si="35"/>
        <v>2</v>
      </c>
      <c r="F352" s="1" t="str">
        <f t="shared" ca="1" si="36"/>
        <v>Défavorable</v>
      </c>
    </row>
    <row r="353" spans="1:6" x14ac:dyDescent="0.25">
      <c r="A353" s="1">
        <f t="shared" si="31"/>
        <v>352</v>
      </c>
      <c r="B353" s="1">
        <f t="shared" ca="1" si="32"/>
        <v>41</v>
      </c>
      <c r="C353" s="1">
        <f t="shared" ca="1" si="33"/>
        <v>1</v>
      </c>
      <c r="D353" s="1" t="str">
        <f t="shared" ca="1" si="34"/>
        <v>Femme</v>
      </c>
      <c r="E353" s="1">
        <f t="shared" ca="1" si="35"/>
        <v>2</v>
      </c>
      <c r="F353" s="1" t="str">
        <f t="shared" ca="1" si="36"/>
        <v>Défavorable</v>
      </c>
    </row>
    <row r="354" spans="1:6" x14ac:dyDescent="0.25">
      <c r="A354" s="1">
        <f t="shared" ref="A354:A417" si="37">A353+1</f>
        <v>353</v>
      </c>
      <c r="B354" s="1">
        <f t="shared" ca="1" si="32"/>
        <v>37</v>
      </c>
      <c r="C354" s="1">
        <f t="shared" ca="1" si="33"/>
        <v>0</v>
      </c>
      <c r="D354" s="1" t="str">
        <f t="shared" ca="1" si="34"/>
        <v>Homme</v>
      </c>
      <c r="E354" s="1">
        <f t="shared" ca="1" si="35"/>
        <v>2</v>
      </c>
      <c r="F354" s="1" t="str">
        <f t="shared" ca="1" si="36"/>
        <v>Défavorable</v>
      </c>
    </row>
    <row r="355" spans="1:6" x14ac:dyDescent="0.25">
      <c r="A355" s="1">
        <f t="shared" si="37"/>
        <v>354</v>
      </c>
      <c r="B355" s="1">
        <f t="shared" ca="1" si="32"/>
        <v>32</v>
      </c>
      <c r="C355" s="1">
        <f t="shared" ca="1" si="33"/>
        <v>0</v>
      </c>
      <c r="D355" s="1" t="str">
        <f t="shared" ca="1" si="34"/>
        <v>Homme</v>
      </c>
      <c r="E355" s="1">
        <f t="shared" ca="1" si="35"/>
        <v>3</v>
      </c>
      <c r="F355" s="1" t="str">
        <f t="shared" ca="1" si="36"/>
        <v>Ne se prononce pas</v>
      </c>
    </row>
    <row r="356" spans="1:6" x14ac:dyDescent="0.25">
      <c r="A356" s="1">
        <f t="shared" si="37"/>
        <v>355</v>
      </c>
      <c r="B356" s="1">
        <f t="shared" ca="1" si="32"/>
        <v>50</v>
      </c>
      <c r="C356" s="1">
        <f t="shared" ca="1" si="33"/>
        <v>1</v>
      </c>
      <c r="D356" s="1" t="str">
        <f t="shared" ca="1" si="34"/>
        <v>Femme</v>
      </c>
      <c r="E356" s="1">
        <f t="shared" ca="1" si="35"/>
        <v>1</v>
      </c>
      <c r="F356" s="1" t="str">
        <f t="shared" ca="1" si="36"/>
        <v>Favorable</v>
      </c>
    </row>
    <row r="357" spans="1:6" x14ac:dyDescent="0.25">
      <c r="A357" s="1">
        <f t="shared" si="37"/>
        <v>356</v>
      </c>
      <c r="B357" s="1">
        <f t="shared" ca="1" si="32"/>
        <v>47</v>
      </c>
      <c r="C357" s="1">
        <f t="shared" ca="1" si="33"/>
        <v>1</v>
      </c>
      <c r="D357" s="1" t="str">
        <f t="shared" ca="1" si="34"/>
        <v>Femme</v>
      </c>
      <c r="E357" s="1">
        <f t="shared" ca="1" si="35"/>
        <v>3</v>
      </c>
      <c r="F357" s="1" t="str">
        <f t="shared" ca="1" si="36"/>
        <v>Ne se prononce pas</v>
      </c>
    </row>
    <row r="358" spans="1:6" x14ac:dyDescent="0.25">
      <c r="A358" s="1">
        <f t="shared" si="37"/>
        <v>357</v>
      </c>
      <c r="B358" s="1">
        <f t="shared" ca="1" si="32"/>
        <v>36</v>
      </c>
      <c r="C358" s="1">
        <f t="shared" ca="1" si="33"/>
        <v>0</v>
      </c>
      <c r="D358" s="1" t="str">
        <f t="shared" ca="1" si="34"/>
        <v>Homme</v>
      </c>
      <c r="E358" s="1">
        <f t="shared" ca="1" si="35"/>
        <v>3</v>
      </c>
      <c r="F358" s="1" t="str">
        <f t="shared" ca="1" si="36"/>
        <v>Ne se prononce pas</v>
      </c>
    </row>
    <row r="359" spans="1:6" x14ac:dyDescent="0.25">
      <c r="A359" s="1">
        <f t="shared" si="37"/>
        <v>358</v>
      </c>
      <c r="B359" s="1">
        <f t="shared" ca="1" si="32"/>
        <v>40</v>
      </c>
      <c r="C359" s="1">
        <f t="shared" ca="1" si="33"/>
        <v>1</v>
      </c>
      <c r="D359" s="1" t="str">
        <f t="shared" ca="1" si="34"/>
        <v>Femme</v>
      </c>
      <c r="E359" s="1">
        <f t="shared" ca="1" si="35"/>
        <v>2</v>
      </c>
      <c r="F359" s="1" t="str">
        <f t="shared" ca="1" si="36"/>
        <v>Défavorable</v>
      </c>
    </row>
    <row r="360" spans="1:6" x14ac:dyDescent="0.25">
      <c r="A360" s="1">
        <f t="shared" si="37"/>
        <v>359</v>
      </c>
      <c r="B360" s="1">
        <f t="shared" ca="1" si="32"/>
        <v>30</v>
      </c>
      <c r="C360" s="1">
        <f t="shared" ca="1" si="33"/>
        <v>0</v>
      </c>
      <c r="D360" s="1" t="str">
        <f t="shared" ca="1" si="34"/>
        <v>Homme</v>
      </c>
      <c r="E360" s="1">
        <f t="shared" ca="1" si="35"/>
        <v>3</v>
      </c>
      <c r="F360" s="1" t="str">
        <f t="shared" ca="1" si="36"/>
        <v>Ne se prononce pas</v>
      </c>
    </row>
    <row r="361" spans="1:6" x14ac:dyDescent="0.25">
      <c r="A361" s="1">
        <f t="shared" si="37"/>
        <v>360</v>
      </c>
      <c r="B361" s="1">
        <f t="shared" ca="1" si="32"/>
        <v>30</v>
      </c>
      <c r="C361" s="1">
        <f t="shared" ca="1" si="33"/>
        <v>1</v>
      </c>
      <c r="D361" s="1" t="str">
        <f t="shared" ca="1" si="34"/>
        <v>Femme</v>
      </c>
      <c r="E361" s="1">
        <f t="shared" ca="1" si="35"/>
        <v>3</v>
      </c>
      <c r="F361" s="1" t="str">
        <f t="shared" ca="1" si="36"/>
        <v>Ne se prononce pas</v>
      </c>
    </row>
    <row r="362" spans="1:6" x14ac:dyDescent="0.25">
      <c r="A362" s="1">
        <f t="shared" si="37"/>
        <v>361</v>
      </c>
      <c r="B362" s="1">
        <f t="shared" ca="1" si="32"/>
        <v>37</v>
      </c>
      <c r="C362" s="1">
        <f t="shared" ca="1" si="33"/>
        <v>1</v>
      </c>
      <c r="D362" s="1" t="str">
        <f t="shared" ca="1" si="34"/>
        <v>Femme</v>
      </c>
      <c r="E362" s="1">
        <f t="shared" ca="1" si="35"/>
        <v>3</v>
      </c>
      <c r="F362" s="1" t="str">
        <f t="shared" ca="1" si="36"/>
        <v>Ne se prononce pas</v>
      </c>
    </row>
    <row r="363" spans="1:6" x14ac:dyDescent="0.25">
      <c r="A363" s="1">
        <f t="shared" si="37"/>
        <v>362</v>
      </c>
      <c r="B363" s="1">
        <f t="shared" ca="1" si="32"/>
        <v>36</v>
      </c>
      <c r="C363" s="1">
        <f t="shared" ca="1" si="33"/>
        <v>0</v>
      </c>
      <c r="D363" s="1" t="str">
        <f t="shared" ca="1" si="34"/>
        <v>Homme</v>
      </c>
      <c r="E363" s="1">
        <f t="shared" ca="1" si="35"/>
        <v>2</v>
      </c>
      <c r="F363" s="1" t="str">
        <f t="shared" ca="1" si="36"/>
        <v>Défavorable</v>
      </c>
    </row>
    <row r="364" spans="1:6" x14ac:dyDescent="0.25">
      <c r="A364" s="1">
        <f t="shared" si="37"/>
        <v>363</v>
      </c>
      <c r="B364" s="1">
        <f t="shared" ca="1" si="32"/>
        <v>46</v>
      </c>
      <c r="C364" s="1">
        <f t="shared" ca="1" si="33"/>
        <v>1</v>
      </c>
      <c r="D364" s="1" t="str">
        <f t="shared" ca="1" si="34"/>
        <v>Femme</v>
      </c>
      <c r="E364" s="1">
        <f t="shared" ca="1" si="35"/>
        <v>2</v>
      </c>
      <c r="F364" s="1" t="str">
        <f t="shared" ca="1" si="36"/>
        <v>Défavorable</v>
      </c>
    </row>
    <row r="365" spans="1:6" x14ac:dyDescent="0.25">
      <c r="A365" s="1">
        <f t="shared" si="37"/>
        <v>364</v>
      </c>
      <c r="B365" s="1">
        <f t="shared" ca="1" si="32"/>
        <v>47</v>
      </c>
      <c r="C365" s="1">
        <f t="shared" ca="1" si="33"/>
        <v>1</v>
      </c>
      <c r="D365" s="1" t="str">
        <f t="shared" ca="1" si="34"/>
        <v>Femme</v>
      </c>
      <c r="E365" s="1">
        <f t="shared" ca="1" si="35"/>
        <v>2</v>
      </c>
      <c r="F365" s="1" t="str">
        <f t="shared" ca="1" si="36"/>
        <v>Défavorable</v>
      </c>
    </row>
    <row r="366" spans="1:6" x14ac:dyDescent="0.25">
      <c r="A366" s="1">
        <f t="shared" si="37"/>
        <v>365</v>
      </c>
      <c r="B366" s="1">
        <f t="shared" ca="1" si="32"/>
        <v>35</v>
      </c>
      <c r="C366" s="1">
        <f t="shared" ca="1" si="33"/>
        <v>0</v>
      </c>
      <c r="D366" s="1" t="str">
        <f t="shared" ca="1" si="34"/>
        <v>Homme</v>
      </c>
      <c r="E366" s="1">
        <f t="shared" ca="1" si="35"/>
        <v>3</v>
      </c>
      <c r="F366" s="1" t="str">
        <f t="shared" ca="1" si="36"/>
        <v>Ne se prononce pas</v>
      </c>
    </row>
    <row r="367" spans="1:6" x14ac:dyDescent="0.25">
      <c r="A367" s="1">
        <f t="shared" si="37"/>
        <v>366</v>
      </c>
      <c r="B367" s="1">
        <f t="shared" ca="1" si="32"/>
        <v>39</v>
      </c>
      <c r="C367" s="1">
        <f t="shared" ca="1" si="33"/>
        <v>1</v>
      </c>
      <c r="D367" s="1" t="str">
        <f t="shared" ca="1" si="34"/>
        <v>Femme</v>
      </c>
      <c r="E367" s="1">
        <f t="shared" ca="1" si="35"/>
        <v>2</v>
      </c>
      <c r="F367" s="1" t="str">
        <f t="shared" ca="1" si="36"/>
        <v>Défavorable</v>
      </c>
    </row>
    <row r="368" spans="1:6" x14ac:dyDescent="0.25">
      <c r="A368" s="1">
        <f t="shared" si="37"/>
        <v>367</v>
      </c>
      <c r="B368" s="1">
        <f t="shared" ca="1" si="32"/>
        <v>30</v>
      </c>
      <c r="C368" s="1">
        <f t="shared" ca="1" si="33"/>
        <v>0</v>
      </c>
      <c r="D368" s="1" t="str">
        <f t="shared" ca="1" si="34"/>
        <v>Homme</v>
      </c>
      <c r="E368" s="1">
        <f t="shared" ca="1" si="35"/>
        <v>1</v>
      </c>
      <c r="F368" s="1" t="str">
        <f t="shared" ca="1" si="36"/>
        <v>Favorable</v>
      </c>
    </row>
    <row r="369" spans="1:6" x14ac:dyDescent="0.25">
      <c r="A369" s="1">
        <f t="shared" si="37"/>
        <v>368</v>
      </c>
      <c r="B369" s="1">
        <f t="shared" ca="1" si="32"/>
        <v>42</v>
      </c>
      <c r="C369" s="1">
        <f t="shared" ca="1" si="33"/>
        <v>0</v>
      </c>
      <c r="D369" s="1" t="str">
        <f t="shared" ca="1" si="34"/>
        <v>Homme</v>
      </c>
      <c r="E369" s="1">
        <f t="shared" ca="1" si="35"/>
        <v>1</v>
      </c>
      <c r="F369" s="1" t="str">
        <f t="shared" ca="1" si="36"/>
        <v>Favorable</v>
      </c>
    </row>
    <row r="370" spans="1:6" x14ac:dyDescent="0.25">
      <c r="A370" s="1">
        <f t="shared" si="37"/>
        <v>369</v>
      </c>
      <c r="B370" s="1">
        <f t="shared" ca="1" si="32"/>
        <v>44</v>
      </c>
      <c r="C370" s="1">
        <f t="shared" ca="1" si="33"/>
        <v>1</v>
      </c>
      <c r="D370" s="1" t="str">
        <f t="shared" ca="1" si="34"/>
        <v>Femme</v>
      </c>
      <c r="E370" s="1">
        <f t="shared" ca="1" si="35"/>
        <v>2</v>
      </c>
      <c r="F370" s="1" t="str">
        <f t="shared" ca="1" si="36"/>
        <v>Défavorable</v>
      </c>
    </row>
    <row r="371" spans="1:6" x14ac:dyDescent="0.25">
      <c r="A371" s="1">
        <f t="shared" si="37"/>
        <v>370</v>
      </c>
      <c r="B371" s="1">
        <f t="shared" ca="1" si="32"/>
        <v>50</v>
      </c>
      <c r="C371" s="1">
        <f t="shared" ca="1" si="33"/>
        <v>0</v>
      </c>
      <c r="D371" s="1" t="str">
        <f t="shared" ca="1" si="34"/>
        <v>Homme</v>
      </c>
      <c r="E371" s="1">
        <f t="shared" ca="1" si="35"/>
        <v>2</v>
      </c>
      <c r="F371" s="1" t="str">
        <f t="shared" ca="1" si="36"/>
        <v>Défavorable</v>
      </c>
    </row>
    <row r="372" spans="1:6" x14ac:dyDescent="0.25">
      <c r="A372" s="1">
        <f t="shared" si="37"/>
        <v>371</v>
      </c>
      <c r="B372" s="1">
        <f t="shared" ca="1" si="32"/>
        <v>36</v>
      </c>
      <c r="C372" s="1">
        <f t="shared" ca="1" si="33"/>
        <v>0</v>
      </c>
      <c r="D372" s="1" t="str">
        <f t="shared" ca="1" si="34"/>
        <v>Homme</v>
      </c>
      <c r="E372" s="1">
        <f t="shared" ca="1" si="35"/>
        <v>1</v>
      </c>
      <c r="F372" s="1" t="str">
        <f t="shared" ca="1" si="36"/>
        <v>Favorable</v>
      </c>
    </row>
    <row r="373" spans="1:6" x14ac:dyDescent="0.25">
      <c r="A373" s="1">
        <f t="shared" si="37"/>
        <v>372</v>
      </c>
      <c r="B373" s="1">
        <f t="shared" ca="1" si="32"/>
        <v>41</v>
      </c>
      <c r="C373" s="1">
        <f t="shared" ca="1" si="33"/>
        <v>1</v>
      </c>
      <c r="D373" s="1" t="str">
        <f t="shared" ca="1" si="34"/>
        <v>Femme</v>
      </c>
      <c r="E373" s="1">
        <f t="shared" ca="1" si="35"/>
        <v>3</v>
      </c>
      <c r="F373" s="1" t="str">
        <f t="shared" ca="1" si="36"/>
        <v>Ne se prononce pas</v>
      </c>
    </row>
    <row r="374" spans="1:6" x14ac:dyDescent="0.25">
      <c r="A374" s="1">
        <f t="shared" si="37"/>
        <v>373</v>
      </c>
      <c r="B374" s="1">
        <f t="shared" ca="1" si="32"/>
        <v>31</v>
      </c>
      <c r="C374" s="1">
        <f t="shared" ca="1" si="33"/>
        <v>0</v>
      </c>
      <c r="D374" s="1" t="str">
        <f t="shared" ca="1" si="34"/>
        <v>Homme</v>
      </c>
      <c r="E374" s="1">
        <f t="shared" ca="1" si="35"/>
        <v>2</v>
      </c>
      <c r="F374" s="1" t="str">
        <f t="shared" ca="1" si="36"/>
        <v>Défavorable</v>
      </c>
    </row>
    <row r="375" spans="1:6" x14ac:dyDescent="0.25">
      <c r="A375" s="1">
        <f t="shared" si="37"/>
        <v>374</v>
      </c>
      <c r="B375" s="1">
        <f t="shared" ca="1" si="32"/>
        <v>37</v>
      </c>
      <c r="C375" s="1">
        <f t="shared" ca="1" si="33"/>
        <v>1</v>
      </c>
      <c r="D375" s="1" t="str">
        <f t="shared" ca="1" si="34"/>
        <v>Femme</v>
      </c>
      <c r="E375" s="1">
        <f t="shared" ca="1" si="35"/>
        <v>3</v>
      </c>
      <c r="F375" s="1" t="str">
        <f t="shared" ca="1" si="36"/>
        <v>Ne se prononce pas</v>
      </c>
    </row>
    <row r="376" spans="1:6" x14ac:dyDescent="0.25">
      <c r="A376" s="1">
        <f t="shared" si="37"/>
        <v>375</v>
      </c>
      <c r="B376" s="1">
        <f t="shared" ca="1" si="32"/>
        <v>40</v>
      </c>
      <c r="C376" s="1">
        <f t="shared" ca="1" si="33"/>
        <v>0</v>
      </c>
      <c r="D376" s="1" t="str">
        <f t="shared" ca="1" si="34"/>
        <v>Homme</v>
      </c>
      <c r="E376" s="1">
        <f t="shared" ca="1" si="35"/>
        <v>3</v>
      </c>
      <c r="F376" s="1" t="str">
        <f t="shared" ca="1" si="36"/>
        <v>Ne se prononce pas</v>
      </c>
    </row>
    <row r="377" spans="1:6" x14ac:dyDescent="0.25">
      <c r="A377" s="1">
        <f t="shared" si="37"/>
        <v>376</v>
      </c>
      <c r="B377" s="1">
        <f t="shared" ca="1" si="32"/>
        <v>46</v>
      </c>
      <c r="C377" s="1">
        <f t="shared" ca="1" si="33"/>
        <v>0</v>
      </c>
      <c r="D377" s="1" t="str">
        <f t="shared" ca="1" si="34"/>
        <v>Homme</v>
      </c>
      <c r="E377" s="1">
        <f t="shared" ca="1" si="35"/>
        <v>1</v>
      </c>
      <c r="F377" s="1" t="str">
        <f t="shared" ca="1" si="36"/>
        <v>Favorable</v>
      </c>
    </row>
    <row r="378" spans="1:6" x14ac:dyDescent="0.25">
      <c r="A378" s="1">
        <f t="shared" si="37"/>
        <v>377</v>
      </c>
      <c r="B378" s="1">
        <f t="shared" ca="1" si="32"/>
        <v>30</v>
      </c>
      <c r="C378" s="1">
        <f t="shared" ca="1" si="33"/>
        <v>1</v>
      </c>
      <c r="D378" s="1" t="str">
        <f t="shared" ca="1" si="34"/>
        <v>Femme</v>
      </c>
      <c r="E378" s="1">
        <f t="shared" ca="1" si="35"/>
        <v>3</v>
      </c>
      <c r="F378" s="1" t="str">
        <f t="shared" ca="1" si="36"/>
        <v>Ne se prononce pas</v>
      </c>
    </row>
    <row r="379" spans="1:6" x14ac:dyDescent="0.25">
      <c r="A379" s="1">
        <f t="shared" si="37"/>
        <v>378</v>
      </c>
      <c r="B379" s="1">
        <f t="shared" ca="1" si="32"/>
        <v>36</v>
      </c>
      <c r="C379" s="1">
        <f t="shared" ca="1" si="33"/>
        <v>0</v>
      </c>
      <c r="D379" s="1" t="str">
        <f t="shared" ca="1" si="34"/>
        <v>Homme</v>
      </c>
      <c r="E379" s="1">
        <f t="shared" ca="1" si="35"/>
        <v>1</v>
      </c>
      <c r="F379" s="1" t="str">
        <f t="shared" ca="1" si="36"/>
        <v>Favorable</v>
      </c>
    </row>
    <row r="380" spans="1:6" x14ac:dyDescent="0.25">
      <c r="A380" s="1">
        <f t="shared" si="37"/>
        <v>379</v>
      </c>
      <c r="B380" s="1">
        <f t="shared" ca="1" si="32"/>
        <v>36</v>
      </c>
      <c r="C380" s="1">
        <f t="shared" ca="1" si="33"/>
        <v>0</v>
      </c>
      <c r="D380" s="1" t="str">
        <f t="shared" ca="1" si="34"/>
        <v>Homme</v>
      </c>
      <c r="E380" s="1">
        <f t="shared" ca="1" si="35"/>
        <v>3</v>
      </c>
      <c r="F380" s="1" t="str">
        <f t="shared" ca="1" si="36"/>
        <v>Ne se prononce pas</v>
      </c>
    </row>
    <row r="381" spans="1:6" x14ac:dyDescent="0.25">
      <c r="A381" s="1">
        <f t="shared" si="37"/>
        <v>380</v>
      </c>
      <c r="B381" s="1">
        <f t="shared" ca="1" si="32"/>
        <v>48</v>
      </c>
      <c r="C381" s="1">
        <f t="shared" ca="1" si="33"/>
        <v>1</v>
      </c>
      <c r="D381" s="1" t="str">
        <f t="shared" ca="1" si="34"/>
        <v>Femme</v>
      </c>
      <c r="E381" s="1">
        <f t="shared" ca="1" si="35"/>
        <v>1</v>
      </c>
      <c r="F381" s="1" t="str">
        <f t="shared" ca="1" si="36"/>
        <v>Favorable</v>
      </c>
    </row>
    <row r="382" spans="1:6" x14ac:dyDescent="0.25">
      <c r="A382" s="1">
        <f t="shared" si="37"/>
        <v>381</v>
      </c>
      <c r="B382" s="1">
        <f t="shared" ca="1" si="32"/>
        <v>48</v>
      </c>
      <c r="C382" s="1">
        <f t="shared" ca="1" si="33"/>
        <v>1</v>
      </c>
      <c r="D382" s="1" t="str">
        <f t="shared" ca="1" si="34"/>
        <v>Femme</v>
      </c>
      <c r="E382" s="1">
        <f t="shared" ca="1" si="35"/>
        <v>1</v>
      </c>
      <c r="F382" s="1" t="str">
        <f t="shared" ca="1" si="36"/>
        <v>Favorable</v>
      </c>
    </row>
    <row r="383" spans="1:6" x14ac:dyDescent="0.25">
      <c r="A383" s="1">
        <f t="shared" si="37"/>
        <v>382</v>
      </c>
      <c r="B383" s="1">
        <f t="shared" ca="1" si="32"/>
        <v>33</v>
      </c>
      <c r="C383" s="1">
        <f t="shared" ca="1" si="33"/>
        <v>1</v>
      </c>
      <c r="D383" s="1" t="str">
        <f t="shared" ca="1" si="34"/>
        <v>Femme</v>
      </c>
      <c r="E383" s="1">
        <f t="shared" ca="1" si="35"/>
        <v>1</v>
      </c>
      <c r="F383" s="1" t="str">
        <f t="shared" ca="1" si="36"/>
        <v>Favorable</v>
      </c>
    </row>
    <row r="384" spans="1:6" x14ac:dyDescent="0.25">
      <c r="A384" s="1">
        <f t="shared" si="37"/>
        <v>383</v>
      </c>
      <c r="B384" s="1">
        <f t="shared" ca="1" si="32"/>
        <v>31</v>
      </c>
      <c r="C384" s="1">
        <f t="shared" ca="1" si="33"/>
        <v>0</v>
      </c>
      <c r="D384" s="1" t="str">
        <f t="shared" ca="1" si="34"/>
        <v>Homme</v>
      </c>
      <c r="E384" s="1">
        <f t="shared" ca="1" si="35"/>
        <v>2</v>
      </c>
      <c r="F384" s="1" t="str">
        <f t="shared" ca="1" si="36"/>
        <v>Défavorable</v>
      </c>
    </row>
    <row r="385" spans="1:6" x14ac:dyDescent="0.25">
      <c r="A385" s="1">
        <f t="shared" si="37"/>
        <v>384</v>
      </c>
      <c r="B385" s="1">
        <f t="shared" ca="1" si="32"/>
        <v>43</v>
      </c>
      <c r="C385" s="1">
        <f t="shared" ca="1" si="33"/>
        <v>0</v>
      </c>
      <c r="D385" s="1" t="str">
        <f t="shared" ca="1" si="34"/>
        <v>Homme</v>
      </c>
      <c r="E385" s="1">
        <f t="shared" ca="1" si="35"/>
        <v>1</v>
      </c>
      <c r="F385" s="1" t="str">
        <f t="shared" ca="1" si="36"/>
        <v>Favorable</v>
      </c>
    </row>
    <row r="386" spans="1:6" x14ac:dyDescent="0.25">
      <c r="A386" s="1">
        <f t="shared" si="37"/>
        <v>385</v>
      </c>
      <c r="B386" s="1">
        <f t="shared" ca="1" si="32"/>
        <v>41</v>
      </c>
      <c r="C386" s="1">
        <f t="shared" ca="1" si="33"/>
        <v>0</v>
      </c>
      <c r="D386" s="1" t="str">
        <f t="shared" ca="1" si="34"/>
        <v>Homme</v>
      </c>
      <c r="E386" s="1">
        <f t="shared" ca="1" si="35"/>
        <v>3</v>
      </c>
      <c r="F386" s="1" t="str">
        <f t="shared" ca="1" si="36"/>
        <v>Ne se prononce pas</v>
      </c>
    </row>
    <row r="387" spans="1:6" x14ac:dyDescent="0.25">
      <c r="A387" s="1">
        <f t="shared" si="37"/>
        <v>386</v>
      </c>
      <c r="B387" s="1">
        <f t="shared" ca="1" si="32"/>
        <v>45</v>
      </c>
      <c r="C387" s="1">
        <f t="shared" ca="1" si="33"/>
        <v>1</v>
      </c>
      <c r="D387" s="1" t="str">
        <f t="shared" ca="1" si="34"/>
        <v>Femme</v>
      </c>
      <c r="E387" s="1">
        <f t="shared" ca="1" si="35"/>
        <v>2</v>
      </c>
      <c r="F387" s="1" t="str">
        <f t="shared" ca="1" si="36"/>
        <v>Défavorable</v>
      </c>
    </row>
    <row r="388" spans="1:6" x14ac:dyDescent="0.25">
      <c r="A388" s="1">
        <f t="shared" si="37"/>
        <v>387</v>
      </c>
      <c r="B388" s="1">
        <f t="shared" ca="1" si="32"/>
        <v>41</v>
      </c>
      <c r="C388" s="1">
        <f t="shared" ca="1" si="33"/>
        <v>1</v>
      </c>
      <c r="D388" s="1" t="str">
        <f t="shared" ca="1" si="34"/>
        <v>Femme</v>
      </c>
      <c r="E388" s="1">
        <f t="shared" ca="1" si="35"/>
        <v>2</v>
      </c>
      <c r="F388" s="1" t="str">
        <f t="shared" ca="1" si="36"/>
        <v>Défavorable</v>
      </c>
    </row>
    <row r="389" spans="1:6" x14ac:dyDescent="0.25">
      <c r="A389" s="1">
        <f t="shared" si="37"/>
        <v>388</v>
      </c>
      <c r="B389" s="1">
        <f t="shared" ca="1" si="32"/>
        <v>33</v>
      </c>
      <c r="C389" s="1">
        <f t="shared" ca="1" si="33"/>
        <v>1</v>
      </c>
      <c r="D389" s="1" t="str">
        <f t="shared" ca="1" si="34"/>
        <v>Femme</v>
      </c>
      <c r="E389" s="1">
        <f t="shared" ca="1" si="35"/>
        <v>3</v>
      </c>
      <c r="F389" s="1" t="str">
        <f t="shared" ca="1" si="36"/>
        <v>Ne se prononce pas</v>
      </c>
    </row>
    <row r="390" spans="1:6" x14ac:dyDescent="0.25">
      <c r="A390" s="1">
        <f t="shared" si="37"/>
        <v>389</v>
      </c>
      <c r="B390" s="1">
        <f t="shared" ca="1" si="32"/>
        <v>39</v>
      </c>
      <c r="C390" s="1">
        <f t="shared" ca="1" si="33"/>
        <v>0</v>
      </c>
      <c r="D390" s="1" t="str">
        <f t="shared" ca="1" si="34"/>
        <v>Homme</v>
      </c>
      <c r="E390" s="1">
        <f t="shared" ca="1" si="35"/>
        <v>2</v>
      </c>
      <c r="F390" s="1" t="str">
        <f t="shared" ca="1" si="36"/>
        <v>Défavorable</v>
      </c>
    </row>
    <row r="391" spans="1:6" x14ac:dyDescent="0.25">
      <c r="A391" s="1">
        <f t="shared" si="37"/>
        <v>390</v>
      </c>
      <c r="B391" s="1">
        <f t="shared" ref="B391:B454" ca="1" si="38">RANDBETWEEN(30,50)</f>
        <v>47</v>
      </c>
      <c r="C391" s="1">
        <f t="shared" ref="C391:C454" ca="1" si="39">RANDBETWEEN(0,1)</f>
        <v>1</v>
      </c>
      <c r="D391" s="1" t="str">
        <f t="shared" ref="D391:D454" ca="1" si="40">IF(C391=0, "Homme", "Femme")</f>
        <v>Femme</v>
      </c>
      <c r="E391" s="1">
        <f t="shared" ref="E391:E454" ca="1" si="41">RANDBETWEEN(1,3)</f>
        <v>2</v>
      </c>
      <c r="F391" s="1" t="str">
        <f t="shared" ref="F391:F454" ca="1" si="42">IF(E391=1, "Favorable", IF(E391=2, "Défavorable", "Ne se prononce pas"))</f>
        <v>Défavorable</v>
      </c>
    </row>
    <row r="392" spans="1:6" x14ac:dyDescent="0.25">
      <c r="A392" s="1">
        <f t="shared" si="37"/>
        <v>391</v>
      </c>
      <c r="B392" s="1">
        <f t="shared" ca="1" si="38"/>
        <v>46</v>
      </c>
      <c r="C392" s="1">
        <f t="shared" ca="1" si="39"/>
        <v>0</v>
      </c>
      <c r="D392" s="1" t="str">
        <f t="shared" ca="1" si="40"/>
        <v>Homme</v>
      </c>
      <c r="E392" s="1">
        <f t="shared" ca="1" si="41"/>
        <v>3</v>
      </c>
      <c r="F392" s="1" t="str">
        <f t="shared" ca="1" si="42"/>
        <v>Ne se prononce pas</v>
      </c>
    </row>
    <row r="393" spans="1:6" x14ac:dyDescent="0.25">
      <c r="A393" s="1">
        <f t="shared" si="37"/>
        <v>392</v>
      </c>
      <c r="B393" s="1">
        <f t="shared" ca="1" si="38"/>
        <v>48</v>
      </c>
      <c r="C393" s="1">
        <f t="shared" ca="1" si="39"/>
        <v>1</v>
      </c>
      <c r="D393" s="1" t="str">
        <f t="shared" ca="1" si="40"/>
        <v>Femme</v>
      </c>
      <c r="E393" s="1">
        <f t="shared" ca="1" si="41"/>
        <v>3</v>
      </c>
      <c r="F393" s="1" t="str">
        <f t="shared" ca="1" si="42"/>
        <v>Ne se prononce pas</v>
      </c>
    </row>
    <row r="394" spans="1:6" x14ac:dyDescent="0.25">
      <c r="A394" s="1">
        <f t="shared" si="37"/>
        <v>393</v>
      </c>
      <c r="B394" s="1">
        <f t="shared" ca="1" si="38"/>
        <v>43</v>
      </c>
      <c r="C394" s="1">
        <f t="shared" ca="1" si="39"/>
        <v>0</v>
      </c>
      <c r="D394" s="1" t="str">
        <f t="shared" ca="1" si="40"/>
        <v>Homme</v>
      </c>
      <c r="E394" s="1">
        <f t="shared" ca="1" si="41"/>
        <v>2</v>
      </c>
      <c r="F394" s="1" t="str">
        <f t="shared" ca="1" si="42"/>
        <v>Défavorable</v>
      </c>
    </row>
    <row r="395" spans="1:6" x14ac:dyDescent="0.25">
      <c r="A395" s="1">
        <f t="shared" si="37"/>
        <v>394</v>
      </c>
      <c r="B395" s="1">
        <f t="shared" ca="1" si="38"/>
        <v>32</v>
      </c>
      <c r="C395" s="1">
        <f t="shared" ca="1" si="39"/>
        <v>0</v>
      </c>
      <c r="D395" s="1" t="str">
        <f t="shared" ca="1" si="40"/>
        <v>Homme</v>
      </c>
      <c r="E395" s="1">
        <f t="shared" ca="1" si="41"/>
        <v>2</v>
      </c>
      <c r="F395" s="1" t="str">
        <f t="shared" ca="1" si="42"/>
        <v>Défavorable</v>
      </c>
    </row>
    <row r="396" spans="1:6" x14ac:dyDescent="0.25">
      <c r="A396" s="1">
        <f t="shared" si="37"/>
        <v>395</v>
      </c>
      <c r="B396" s="1">
        <f t="shared" ca="1" si="38"/>
        <v>47</v>
      </c>
      <c r="C396" s="1">
        <f t="shared" ca="1" si="39"/>
        <v>0</v>
      </c>
      <c r="D396" s="1" t="str">
        <f t="shared" ca="1" si="40"/>
        <v>Homme</v>
      </c>
      <c r="E396" s="1">
        <f t="shared" ca="1" si="41"/>
        <v>1</v>
      </c>
      <c r="F396" s="1" t="str">
        <f t="shared" ca="1" si="42"/>
        <v>Favorable</v>
      </c>
    </row>
    <row r="397" spans="1:6" x14ac:dyDescent="0.25">
      <c r="A397" s="1">
        <f t="shared" si="37"/>
        <v>396</v>
      </c>
      <c r="B397" s="1">
        <f t="shared" ca="1" si="38"/>
        <v>42</v>
      </c>
      <c r="C397" s="1">
        <f t="shared" ca="1" si="39"/>
        <v>1</v>
      </c>
      <c r="D397" s="1" t="str">
        <f t="shared" ca="1" si="40"/>
        <v>Femme</v>
      </c>
      <c r="E397" s="1">
        <f t="shared" ca="1" si="41"/>
        <v>1</v>
      </c>
      <c r="F397" s="1" t="str">
        <f t="shared" ca="1" si="42"/>
        <v>Favorable</v>
      </c>
    </row>
    <row r="398" spans="1:6" x14ac:dyDescent="0.25">
      <c r="A398" s="1">
        <f t="shared" si="37"/>
        <v>397</v>
      </c>
      <c r="B398" s="1">
        <f t="shared" ca="1" si="38"/>
        <v>36</v>
      </c>
      <c r="C398" s="1">
        <f t="shared" ca="1" si="39"/>
        <v>1</v>
      </c>
      <c r="D398" s="1" t="str">
        <f t="shared" ca="1" si="40"/>
        <v>Femme</v>
      </c>
      <c r="E398" s="1">
        <f t="shared" ca="1" si="41"/>
        <v>1</v>
      </c>
      <c r="F398" s="1" t="str">
        <f t="shared" ca="1" si="42"/>
        <v>Favorable</v>
      </c>
    </row>
    <row r="399" spans="1:6" x14ac:dyDescent="0.25">
      <c r="A399" s="1">
        <f t="shared" si="37"/>
        <v>398</v>
      </c>
      <c r="B399" s="1">
        <f t="shared" ca="1" si="38"/>
        <v>45</v>
      </c>
      <c r="C399" s="1">
        <f t="shared" ca="1" si="39"/>
        <v>0</v>
      </c>
      <c r="D399" s="1" t="str">
        <f t="shared" ca="1" si="40"/>
        <v>Homme</v>
      </c>
      <c r="E399" s="1">
        <f t="shared" ca="1" si="41"/>
        <v>2</v>
      </c>
      <c r="F399" s="1" t="str">
        <f t="shared" ca="1" si="42"/>
        <v>Défavorable</v>
      </c>
    </row>
    <row r="400" spans="1:6" x14ac:dyDescent="0.25">
      <c r="A400" s="1">
        <f t="shared" si="37"/>
        <v>399</v>
      </c>
      <c r="B400" s="1">
        <f t="shared" ca="1" si="38"/>
        <v>40</v>
      </c>
      <c r="C400" s="1">
        <f t="shared" ca="1" si="39"/>
        <v>0</v>
      </c>
      <c r="D400" s="1" t="str">
        <f t="shared" ca="1" si="40"/>
        <v>Homme</v>
      </c>
      <c r="E400" s="1">
        <f t="shared" ca="1" si="41"/>
        <v>3</v>
      </c>
      <c r="F400" s="1" t="str">
        <f t="shared" ca="1" si="42"/>
        <v>Ne se prononce pas</v>
      </c>
    </row>
    <row r="401" spans="1:6" x14ac:dyDescent="0.25">
      <c r="A401" s="1">
        <f t="shared" si="37"/>
        <v>400</v>
      </c>
      <c r="B401" s="1">
        <f t="shared" ca="1" si="38"/>
        <v>39</v>
      </c>
      <c r="C401" s="1">
        <f t="shared" ca="1" si="39"/>
        <v>1</v>
      </c>
      <c r="D401" s="1" t="str">
        <f t="shared" ca="1" si="40"/>
        <v>Femme</v>
      </c>
      <c r="E401" s="1">
        <f t="shared" ca="1" si="41"/>
        <v>3</v>
      </c>
      <c r="F401" s="1" t="str">
        <f t="shared" ca="1" si="42"/>
        <v>Ne se prononce pas</v>
      </c>
    </row>
    <row r="402" spans="1:6" x14ac:dyDescent="0.25">
      <c r="A402" s="1">
        <f t="shared" si="37"/>
        <v>401</v>
      </c>
      <c r="B402" s="1">
        <f t="shared" ca="1" si="38"/>
        <v>37</v>
      </c>
      <c r="C402" s="1">
        <f t="shared" ca="1" si="39"/>
        <v>1</v>
      </c>
      <c r="D402" s="1" t="str">
        <f t="shared" ca="1" si="40"/>
        <v>Femme</v>
      </c>
      <c r="E402" s="1">
        <f t="shared" ca="1" si="41"/>
        <v>2</v>
      </c>
      <c r="F402" s="1" t="str">
        <f t="shared" ca="1" si="42"/>
        <v>Défavorable</v>
      </c>
    </row>
    <row r="403" spans="1:6" x14ac:dyDescent="0.25">
      <c r="A403" s="1">
        <f t="shared" si="37"/>
        <v>402</v>
      </c>
      <c r="B403" s="1">
        <f t="shared" ca="1" si="38"/>
        <v>43</v>
      </c>
      <c r="C403" s="1">
        <f t="shared" ca="1" si="39"/>
        <v>0</v>
      </c>
      <c r="D403" s="1" t="str">
        <f t="shared" ca="1" si="40"/>
        <v>Homme</v>
      </c>
      <c r="E403" s="1">
        <f t="shared" ca="1" si="41"/>
        <v>1</v>
      </c>
      <c r="F403" s="1" t="str">
        <f t="shared" ca="1" si="42"/>
        <v>Favorable</v>
      </c>
    </row>
    <row r="404" spans="1:6" x14ac:dyDescent="0.25">
      <c r="A404" s="1">
        <f t="shared" si="37"/>
        <v>403</v>
      </c>
      <c r="B404" s="1">
        <f t="shared" ca="1" si="38"/>
        <v>49</v>
      </c>
      <c r="C404" s="1">
        <f t="shared" ca="1" si="39"/>
        <v>1</v>
      </c>
      <c r="D404" s="1" t="str">
        <f t="shared" ca="1" si="40"/>
        <v>Femme</v>
      </c>
      <c r="E404" s="1">
        <f t="shared" ca="1" si="41"/>
        <v>1</v>
      </c>
      <c r="F404" s="1" t="str">
        <f t="shared" ca="1" si="42"/>
        <v>Favorable</v>
      </c>
    </row>
    <row r="405" spans="1:6" x14ac:dyDescent="0.25">
      <c r="A405" s="1">
        <f t="shared" si="37"/>
        <v>404</v>
      </c>
      <c r="B405" s="1">
        <f t="shared" ca="1" si="38"/>
        <v>36</v>
      </c>
      <c r="C405" s="1">
        <f t="shared" ca="1" si="39"/>
        <v>0</v>
      </c>
      <c r="D405" s="1" t="str">
        <f t="shared" ca="1" si="40"/>
        <v>Homme</v>
      </c>
      <c r="E405" s="1">
        <f t="shared" ca="1" si="41"/>
        <v>1</v>
      </c>
      <c r="F405" s="1" t="str">
        <f t="shared" ca="1" si="42"/>
        <v>Favorable</v>
      </c>
    </row>
    <row r="406" spans="1:6" x14ac:dyDescent="0.25">
      <c r="A406" s="1">
        <f t="shared" si="37"/>
        <v>405</v>
      </c>
      <c r="B406" s="1">
        <f t="shared" ca="1" si="38"/>
        <v>33</v>
      </c>
      <c r="C406" s="1">
        <f t="shared" ca="1" si="39"/>
        <v>0</v>
      </c>
      <c r="D406" s="1" t="str">
        <f t="shared" ca="1" si="40"/>
        <v>Homme</v>
      </c>
      <c r="E406" s="1">
        <f t="shared" ca="1" si="41"/>
        <v>1</v>
      </c>
      <c r="F406" s="1" t="str">
        <f t="shared" ca="1" si="42"/>
        <v>Favorable</v>
      </c>
    </row>
    <row r="407" spans="1:6" x14ac:dyDescent="0.25">
      <c r="A407" s="1">
        <f t="shared" si="37"/>
        <v>406</v>
      </c>
      <c r="B407" s="1">
        <f t="shared" ca="1" si="38"/>
        <v>43</v>
      </c>
      <c r="C407" s="1">
        <f t="shared" ca="1" si="39"/>
        <v>1</v>
      </c>
      <c r="D407" s="1" t="str">
        <f t="shared" ca="1" si="40"/>
        <v>Femme</v>
      </c>
      <c r="E407" s="1">
        <f t="shared" ca="1" si="41"/>
        <v>2</v>
      </c>
      <c r="F407" s="1" t="str">
        <f t="shared" ca="1" si="42"/>
        <v>Défavorable</v>
      </c>
    </row>
    <row r="408" spans="1:6" x14ac:dyDescent="0.25">
      <c r="A408" s="1">
        <f t="shared" si="37"/>
        <v>407</v>
      </c>
      <c r="B408" s="1">
        <f t="shared" ca="1" si="38"/>
        <v>30</v>
      </c>
      <c r="C408" s="1">
        <f t="shared" ca="1" si="39"/>
        <v>1</v>
      </c>
      <c r="D408" s="1" t="str">
        <f t="shared" ca="1" si="40"/>
        <v>Femme</v>
      </c>
      <c r="E408" s="1">
        <f t="shared" ca="1" si="41"/>
        <v>1</v>
      </c>
      <c r="F408" s="1" t="str">
        <f t="shared" ca="1" si="42"/>
        <v>Favorable</v>
      </c>
    </row>
    <row r="409" spans="1:6" x14ac:dyDescent="0.25">
      <c r="A409" s="1">
        <f t="shared" si="37"/>
        <v>408</v>
      </c>
      <c r="B409" s="1">
        <f t="shared" ca="1" si="38"/>
        <v>46</v>
      </c>
      <c r="C409" s="1">
        <f t="shared" ca="1" si="39"/>
        <v>0</v>
      </c>
      <c r="D409" s="1" t="str">
        <f t="shared" ca="1" si="40"/>
        <v>Homme</v>
      </c>
      <c r="E409" s="1">
        <f t="shared" ca="1" si="41"/>
        <v>3</v>
      </c>
      <c r="F409" s="1" t="str">
        <f t="shared" ca="1" si="42"/>
        <v>Ne se prononce pas</v>
      </c>
    </row>
    <row r="410" spans="1:6" x14ac:dyDescent="0.25">
      <c r="A410" s="1">
        <f t="shared" si="37"/>
        <v>409</v>
      </c>
      <c r="B410" s="1">
        <f t="shared" ca="1" si="38"/>
        <v>33</v>
      </c>
      <c r="C410" s="1">
        <f t="shared" ca="1" si="39"/>
        <v>1</v>
      </c>
      <c r="D410" s="1" t="str">
        <f t="shared" ca="1" si="40"/>
        <v>Femme</v>
      </c>
      <c r="E410" s="1">
        <f t="shared" ca="1" si="41"/>
        <v>1</v>
      </c>
      <c r="F410" s="1" t="str">
        <f t="shared" ca="1" si="42"/>
        <v>Favorable</v>
      </c>
    </row>
    <row r="411" spans="1:6" x14ac:dyDescent="0.25">
      <c r="A411" s="1">
        <f t="shared" si="37"/>
        <v>410</v>
      </c>
      <c r="B411" s="1">
        <f t="shared" ca="1" si="38"/>
        <v>44</v>
      </c>
      <c r="C411" s="1">
        <f t="shared" ca="1" si="39"/>
        <v>1</v>
      </c>
      <c r="D411" s="1" t="str">
        <f t="shared" ca="1" si="40"/>
        <v>Femme</v>
      </c>
      <c r="E411" s="1">
        <f t="shared" ca="1" si="41"/>
        <v>2</v>
      </c>
      <c r="F411" s="1" t="str">
        <f t="shared" ca="1" si="42"/>
        <v>Défavorable</v>
      </c>
    </row>
    <row r="412" spans="1:6" x14ac:dyDescent="0.25">
      <c r="A412" s="1">
        <f t="shared" si="37"/>
        <v>411</v>
      </c>
      <c r="B412" s="1">
        <f t="shared" ca="1" si="38"/>
        <v>49</v>
      </c>
      <c r="C412" s="1">
        <f t="shared" ca="1" si="39"/>
        <v>0</v>
      </c>
      <c r="D412" s="1" t="str">
        <f t="shared" ca="1" si="40"/>
        <v>Homme</v>
      </c>
      <c r="E412" s="1">
        <f t="shared" ca="1" si="41"/>
        <v>3</v>
      </c>
      <c r="F412" s="1" t="str">
        <f t="shared" ca="1" si="42"/>
        <v>Ne se prononce pas</v>
      </c>
    </row>
    <row r="413" spans="1:6" x14ac:dyDescent="0.25">
      <c r="A413" s="1">
        <f t="shared" si="37"/>
        <v>412</v>
      </c>
      <c r="B413" s="1">
        <f t="shared" ca="1" si="38"/>
        <v>38</v>
      </c>
      <c r="C413" s="1">
        <f t="shared" ca="1" si="39"/>
        <v>1</v>
      </c>
      <c r="D413" s="1" t="str">
        <f t="shared" ca="1" si="40"/>
        <v>Femme</v>
      </c>
      <c r="E413" s="1">
        <f t="shared" ca="1" si="41"/>
        <v>2</v>
      </c>
      <c r="F413" s="1" t="str">
        <f t="shared" ca="1" si="42"/>
        <v>Défavorable</v>
      </c>
    </row>
    <row r="414" spans="1:6" x14ac:dyDescent="0.25">
      <c r="A414" s="1">
        <f t="shared" si="37"/>
        <v>413</v>
      </c>
      <c r="B414" s="1">
        <f t="shared" ca="1" si="38"/>
        <v>31</v>
      </c>
      <c r="C414" s="1">
        <f t="shared" ca="1" si="39"/>
        <v>1</v>
      </c>
      <c r="D414" s="1" t="str">
        <f t="shared" ca="1" si="40"/>
        <v>Femme</v>
      </c>
      <c r="E414" s="1">
        <f t="shared" ca="1" si="41"/>
        <v>3</v>
      </c>
      <c r="F414" s="1" t="str">
        <f t="shared" ca="1" si="42"/>
        <v>Ne se prononce pas</v>
      </c>
    </row>
    <row r="415" spans="1:6" x14ac:dyDescent="0.25">
      <c r="A415" s="1">
        <f t="shared" si="37"/>
        <v>414</v>
      </c>
      <c r="B415" s="1">
        <f t="shared" ca="1" si="38"/>
        <v>32</v>
      </c>
      <c r="C415" s="1">
        <f t="shared" ca="1" si="39"/>
        <v>0</v>
      </c>
      <c r="D415" s="1" t="str">
        <f t="shared" ca="1" si="40"/>
        <v>Homme</v>
      </c>
      <c r="E415" s="1">
        <f t="shared" ca="1" si="41"/>
        <v>3</v>
      </c>
      <c r="F415" s="1" t="str">
        <f t="shared" ca="1" si="42"/>
        <v>Ne se prononce pas</v>
      </c>
    </row>
    <row r="416" spans="1:6" x14ac:dyDescent="0.25">
      <c r="A416" s="1">
        <f t="shared" si="37"/>
        <v>415</v>
      </c>
      <c r="B416" s="1">
        <f t="shared" ca="1" si="38"/>
        <v>41</v>
      </c>
      <c r="C416" s="1">
        <f t="shared" ca="1" si="39"/>
        <v>1</v>
      </c>
      <c r="D416" s="1" t="str">
        <f t="shared" ca="1" si="40"/>
        <v>Femme</v>
      </c>
      <c r="E416" s="1">
        <f t="shared" ca="1" si="41"/>
        <v>1</v>
      </c>
      <c r="F416" s="1" t="str">
        <f t="shared" ca="1" si="42"/>
        <v>Favorable</v>
      </c>
    </row>
    <row r="417" spans="1:6" x14ac:dyDescent="0.25">
      <c r="A417" s="1">
        <f t="shared" si="37"/>
        <v>416</v>
      </c>
      <c r="B417" s="1">
        <f t="shared" ca="1" si="38"/>
        <v>42</v>
      </c>
      <c r="C417" s="1">
        <f t="shared" ca="1" si="39"/>
        <v>0</v>
      </c>
      <c r="D417" s="1" t="str">
        <f t="shared" ca="1" si="40"/>
        <v>Homme</v>
      </c>
      <c r="E417" s="1">
        <f t="shared" ca="1" si="41"/>
        <v>1</v>
      </c>
      <c r="F417" s="1" t="str">
        <f t="shared" ca="1" si="42"/>
        <v>Favorable</v>
      </c>
    </row>
    <row r="418" spans="1:6" x14ac:dyDescent="0.25">
      <c r="A418" s="1">
        <f t="shared" ref="A418:A481" si="43">A417+1</f>
        <v>417</v>
      </c>
      <c r="B418" s="1">
        <f t="shared" ca="1" si="38"/>
        <v>38</v>
      </c>
      <c r="C418" s="1">
        <f t="shared" ca="1" si="39"/>
        <v>1</v>
      </c>
      <c r="D418" s="1" t="str">
        <f t="shared" ca="1" si="40"/>
        <v>Femme</v>
      </c>
      <c r="E418" s="1">
        <f t="shared" ca="1" si="41"/>
        <v>3</v>
      </c>
      <c r="F418" s="1" t="str">
        <f t="shared" ca="1" si="42"/>
        <v>Ne se prononce pas</v>
      </c>
    </row>
    <row r="419" spans="1:6" x14ac:dyDescent="0.25">
      <c r="A419" s="1">
        <f t="shared" si="43"/>
        <v>418</v>
      </c>
      <c r="B419" s="1">
        <f t="shared" ca="1" si="38"/>
        <v>41</v>
      </c>
      <c r="C419" s="1">
        <f t="shared" ca="1" si="39"/>
        <v>1</v>
      </c>
      <c r="D419" s="1" t="str">
        <f t="shared" ca="1" si="40"/>
        <v>Femme</v>
      </c>
      <c r="E419" s="1">
        <f t="shared" ca="1" si="41"/>
        <v>1</v>
      </c>
      <c r="F419" s="1" t="str">
        <f t="shared" ca="1" si="42"/>
        <v>Favorable</v>
      </c>
    </row>
    <row r="420" spans="1:6" x14ac:dyDescent="0.25">
      <c r="A420" s="1">
        <f t="shared" si="43"/>
        <v>419</v>
      </c>
      <c r="B420" s="1">
        <f t="shared" ca="1" si="38"/>
        <v>45</v>
      </c>
      <c r="C420" s="1">
        <f t="shared" ca="1" si="39"/>
        <v>1</v>
      </c>
      <c r="D420" s="1" t="str">
        <f t="shared" ca="1" si="40"/>
        <v>Femme</v>
      </c>
      <c r="E420" s="1">
        <f t="shared" ca="1" si="41"/>
        <v>3</v>
      </c>
      <c r="F420" s="1" t="str">
        <f t="shared" ca="1" si="42"/>
        <v>Ne se prononce pas</v>
      </c>
    </row>
    <row r="421" spans="1:6" x14ac:dyDescent="0.25">
      <c r="A421" s="1">
        <f t="shared" si="43"/>
        <v>420</v>
      </c>
      <c r="B421" s="1">
        <f t="shared" ca="1" si="38"/>
        <v>43</v>
      </c>
      <c r="C421" s="1">
        <f t="shared" ca="1" si="39"/>
        <v>0</v>
      </c>
      <c r="D421" s="1" t="str">
        <f t="shared" ca="1" si="40"/>
        <v>Homme</v>
      </c>
      <c r="E421" s="1">
        <f t="shared" ca="1" si="41"/>
        <v>2</v>
      </c>
      <c r="F421" s="1" t="str">
        <f t="shared" ca="1" si="42"/>
        <v>Défavorable</v>
      </c>
    </row>
    <row r="422" spans="1:6" x14ac:dyDescent="0.25">
      <c r="A422" s="1">
        <f t="shared" si="43"/>
        <v>421</v>
      </c>
      <c r="B422" s="1">
        <f t="shared" ca="1" si="38"/>
        <v>43</v>
      </c>
      <c r="C422" s="1">
        <f t="shared" ca="1" si="39"/>
        <v>1</v>
      </c>
      <c r="D422" s="1" t="str">
        <f t="shared" ca="1" si="40"/>
        <v>Femme</v>
      </c>
      <c r="E422" s="1">
        <f t="shared" ca="1" si="41"/>
        <v>1</v>
      </c>
      <c r="F422" s="1" t="str">
        <f t="shared" ca="1" si="42"/>
        <v>Favorable</v>
      </c>
    </row>
    <row r="423" spans="1:6" x14ac:dyDescent="0.25">
      <c r="A423" s="1">
        <f t="shared" si="43"/>
        <v>422</v>
      </c>
      <c r="B423" s="1">
        <f t="shared" ca="1" si="38"/>
        <v>38</v>
      </c>
      <c r="C423" s="1">
        <f t="shared" ca="1" si="39"/>
        <v>0</v>
      </c>
      <c r="D423" s="1" t="str">
        <f t="shared" ca="1" si="40"/>
        <v>Homme</v>
      </c>
      <c r="E423" s="1">
        <f t="shared" ca="1" si="41"/>
        <v>3</v>
      </c>
      <c r="F423" s="1" t="str">
        <f t="shared" ca="1" si="42"/>
        <v>Ne se prononce pas</v>
      </c>
    </row>
    <row r="424" spans="1:6" x14ac:dyDescent="0.25">
      <c r="A424" s="1">
        <f t="shared" si="43"/>
        <v>423</v>
      </c>
      <c r="B424" s="1">
        <f t="shared" ca="1" si="38"/>
        <v>47</v>
      </c>
      <c r="C424" s="1">
        <f t="shared" ca="1" si="39"/>
        <v>1</v>
      </c>
      <c r="D424" s="1" t="str">
        <f t="shared" ca="1" si="40"/>
        <v>Femme</v>
      </c>
      <c r="E424" s="1">
        <f t="shared" ca="1" si="41"/>
        <v>3</v>
      </c>
      <c r="F424" s="1" t="str">
        <f t="shared" ca="1" si="42"/>
        <v>Ne se prononce pas</v>
      </c>
    </row>
    <row r="425" spans="1:6" x14ac:dyDescent="0.25">
      <c r="A425" s="1">
        <f t="shared" si="43"/>
        <v>424</v>
      </c>
      <c r="B425" s="1">
        <f t="shared" ca="1" si="38"/>
        <v>48</v>
      </c>
      <c r="C425" s="1">
        <f t="shared" ca="1" si="39"/>
        <v>0</v>
      </c>
      <c r="D425" s="1" t="str">
        <f t="shared" ca="1" si="40"/>
        <v>Homme</v>
      </c>
      <c r="E425" s="1">
        <f t="shared" ca="1" si="41"/>
        <v>2</v>
      </c>
      <c r="F425" s="1" t="str">
        <f t="shared" ca="1" si="42"/>
        <v>Défavorable</v>
      </c>
    </row>
    <row r="426" spans="1:6" x14ac:dyDescent="0.25">
      <c r="A426" s="1">
        <f t="shared" si="43"/>
        <v>425</v>
      </c>
      <c r="B426" s="1">
        <f t="shared" ca="1" si="38"/>
        <v>33</v>
      </c>
      <c r="C426" s="1">
        <f t="shared" ca="1" si="39"/>
        <v>0</v>
      </c>
      <c r="D426" s="1" t="str">
        <f t="shared" ca="1" si="40"/>
        <v>Homme</v>
      </c>
      <c r="E426" s="1">
        <f t="shared" ca="1" si="41"/>
        <v>2</v>
      </c>
      <c r="F426" s="1" t="str">
        <f t="shared" ca="1" si="42"/>
        <v>Défavorable</v>
      </c>
    </row>
    <row r="427" spans="1:6" x14ac:dyDescent="0.25">
      <c r="A427" s="1">
        <f t="shared" si="43"/>
        <v>426</v>
      </c>
      <c r="B427" s="1">
        <f t="shared" ca="1" si="38"/>
        <v>43</v>
      </c>
      <c r="C427" s="1">
        <f t="shared" ca="1" si="39"/>
        <v>0</v>
      </c>
      <c r="D427" s="1" t="str">
        <f t="shared" ca="1" si="40"/>
        <v>Homme</v>
      </c>
      <c r="E427" s="1">
        <f t="shared" ca="1" si="41"/>
        <v>3</v>
      </c>
      <c r="F427" s="1" t="str">
        <f t="shared" ca="1" si="42"/>
        <v>Ne se prononce pas</v>
      </c>
    </row>
    <row r="428" spans="1:6" x14ac:dyDescent="0.25">
      <c r="A428" s="1">
        <f t="shared" si="43"/>
        <v>427</v>
      </c>
      <c r="B428" s="1">
        <f t="shared" ca="1" si="38"/>
        <v>36</v>
      </c>
      <c r="C428" s="1">
        <f t="shared" ca="1" si="39"/>
        <v>1</v>
      </c>
      <c r="D428" s="1" t="str">
        <f t="shared" ca="1" si="40"/>
        <v>Femme</v>
      </c>
      <c r="E428" s="1">
        <f t="shared" ca="1" si="41"/>
        <v>3</v>
      </c>
      <c r="F428" s="1" t="str">
        <f t="shared" ca="1" si="42"/>
        <v>Ne se prononce pas</v>
      </c>
    </row>
    <row r="429" spans="1:6" x14ac:dyDescent="0.25">
      <c r="A429" s="1">
        <f t="shared" si="43"/>
        <v>428</v>
      </c>
      <c r="B429" s="1">
        <f t="shared" ca="1" si="38"/>
        <v>42</v>
      </c>
      <c r="C429" s="1">
        <f t="shared" ca="1" si="39"/>
        <v>0</v>
      </c>
      <c r="D429" s="1" t="str">
        <f t="shared" ca="1" si="40"/>
        <v>Homme</v>
      </c>
      <c r="E429" s="1">
        <f t="shared" ca="1" si="41"/>
        <v>3</v>
      </c>
      <c r="F429" s="1" t="str">
        <f t="shared" ca="1" si="42"/>
        <v>Ne se prononce pas</v>
      </c>
    </row>
    <row r="430" spans="1:6" x14ac:dyDescent="0.25">
      <c r="A430" s="1">
        <f t="shared" si="43"/>
        <v>429</v>
      </c>
      <c r="B430" s="1">
        <f t="shared" ca="1" si="38"/>
        <v>50</v>
      </c>
      <c r="C430" s="1">
        <f t="shared" ca="1" si="39"/>
        <v>1</v>
      </c>
      <c r="D430" s="1" t="str">
        <f t="shared" ca="1" si="40"/>
        <v>Femme</v>
      </c>
      <c r="E430" s="1">
        <f t="shared" ca="1" si="41"/>
        <v>1</v>
      </c>
      <c r="F430" s="1" t="str">
        <f t="shared" ca="1" si="42"/>
        <v>Favorable</v>
      </c>
    </row>
    <row r="431" spans="1:6" x14ac:dyDescent="0.25">
      <c r="A431" s="1">
        <f t="shared" si="43"/>
        <v>430</v>
      </c>
      <c r="B431" s="1">
        <f t="shared" ca="1" si="38"/>
        <v>40</v>
      </c>
      <c r="C431" s="1">
        <f t="shared" ca="1" si="39"/>
        <v>0</v>
      </c>
      <c r="D431" s="1" t="str">
        <f t="shared" ca="1" si="40"/>
        <v>Homme</v>
      </c>
      <c r="E431" s="1">
        <f t="shared" ca="1" si="41"/>
        <v>2</v>
      </c>
      <c r="F431" s="1" t="str">
        <f t="shared" ca="1" si="42"/>
        <v>Défavorable</v>
      </c>
    </row>
    <row r="432" spans="1:6" x14ac:dyDescent="0.25">
      <c r="A432" s="1">
        <f t="shared" si="43"/>
        <v>431</v>
      </c>
      <c r="B432" s="1">
        <f t="shared" ca="1" si="38"/>
        <v>46</v>
      </c>
      <c r="C432" s="1">
        <f t="shared" ca="1" si="39"/>
        <v>1</v>
      </c>
      <c r="D432" s="1" t="str">
        <f t="shared" ca="1" si="40"/>
        <v>Femme</v>
      </c>
      <c r="E432" s="1">
        <f t="shared" ca="1" si="41"/>
        <v>2</v>
      </c>
      <c r="F432" s="1" t="str">
        <f t="shared" ca="1" si="42"/>
        <v>Défavorable</v>
      </c>
    </row>
    <row r="433" spans="1:6" x14ac:dyDescent="0.25">
      <c r="A433" s="1">
        <f t="shared" si="43"/>
        <v>432</v>
      </c>
      <c r="B433" s="1">
        <f t="shared" ca="1" si="38"/>
        <v>30</v>
      </c>
      <c r="C433" s="1">
        <f t="shared" ca="1" si="39"/>
        <v>0</v>
      </c>
      <c r="D433" s="1" t="str">
        <f t="shared" ca="1" si="40"/>
        <v>Homme</v>
      </c>
      <c r="E433" s="1">
        <f t="shared" ca="1" si="41"/>
        <v>1</v>
      </c>
      <c r="F433" s="1" t="str">
        <f t="shared" ca="1" si="42"/>
        <v>Favorable</v>
      </c>
    </row>
    <row r="434" spans="1:6" x14ac:dyDescent="0.25">
      <c r="A434" s="1">
        <f t="shared" si="43"/>
        <v>433</v>
      </c>
      <c r="B434" s="1">
        <f t="shared" ca="1" si="38"/>
        <v>33</v>
      </c>
      <c r="C434" s="1">
        <f t="shared" ca="1" si="39"/>
        <v>1</v>
      </c>
      <c r="D434" s="1" t="str">
        <f t="shared" ca="1" si="40"/>
        <v>Femme</v>
      </c>
      <c r="E434" s="1">
        <f t="shared" ca="1" si="41"/>
        <v>2</v>
      </c>
      <c r="F434" s="1" t="str">
        <f t="shared" ca="1" si="42"/>
        <v>Défavorable</v>
      </c>
    </row>
    <row r="435" spans="1:6" x14ac:dyDescent="0.25">
      <c r="A435" s="1">
        <f t="shared" si="43"/>
        <v>434</v>
      </c>
      <c r="B435" s="1">
        <f t="shared" ca="1" si="38"/>
        <v>35</v>
      </c>
      <c r="C435" s="1">
        <f t="shared" ca="1" si="39"/>
        <v>0</v>
      </c>
      <c r="D435" s="1" t="str">
        <f t="shared" ca="1" si="40"/>
        <v>Homme</v>
      </c>
      <c r="E435" s="1">
        <f t="shared" ca="1" si="41"/>
        <v>1</v>
      </c>
      <c r="F435" s="1" t="str">
        <f t="shared" ca="1" si="42"/>
        <v>Favorable</v>
      </c>
    </row>
    <row r="436" spans="1:6" x14ac:dyDescent="0.25">
      <c r="A436" s="1">
        <f t="shared" si="43"/>
        <v>435</v>
      </c>
      <c r="B436" s="1">
        <f t="shared" ca="1" si="38"/>
        <v>45</v>
      </c>
      <c r="C436" s="1">
        <f t="shared" ca="1" si="39"/>
        <v>1</v>
      </c>
      <c r="D436" s="1" t="str">
        <f t="shared" ca="1" si="40"/>
        <v>Femme</v>
      </c>
      <c r="E436" s="1">
        <f t="shared" ca="1" si="41"/>
        <v>3</v>
      </c>
      <c r="F436" s="1" t="str">
        <f t="shared" ca="1" si="42"/>
        <v>Ne se prononce pas</v>
      </c>
    </row>
    <row r="437" spans="1:6" x14ac:dyDescent="0.25">
      <c r="A437" s="1">
        <f t="shared" si="43"/>
        <v>436</v>
      </c>
      <c r="B437" s="1">
        <f t="shared" ca="1" si="38"/>
        <v>33</v>
      </c>
      <c r="C437" s="1">
        <f t="shared" ca="1" si="39"/>
        <v>1</v>
      </c>
      <c r="D437" s="1" t="str">
        <f t="shared" ca="1" si="40"/>
        <v>Femme</v>
      </c>
      <c r="E437" s="1">
        <f t="shared" ca="1" si="41"/>
        <v>1</v>
      </c>
      <c r="F437" s="1" t="str">
        <f t="shared" ca="1" si="42"/>
        <v>Favorable</v>
      </c>
    </row>
    <row r="438" spans="1:6" x14ac:dyDescent="0.25">
      <c r="A438" s="1">
        <f t="shared" si="43"/>
        <v>437</v>
      </c>
      <c r="B438" s="1">
        <f t="shared" ca="1" si="38"/>
        <v>44</v>
      </c>
      <c r="C438" s="1">
        <f t="shared" ca="1" si="39"/>
        <v>0</v>
      </c>
      <c r="D438" s="1" t="str">
        <f t="shared" ca="1" si="40"/>
        <v>Homme</v>
      </c>
      <c r="E438" s="1">
        <f t="shared" ca="1" si="41"/>
        <v>2</v>
      </c>
      <c r="F438" s="1" t="str">
        <f t="shared" ca="1" si="42"/>
        <v>Défavorable</v>
      </c>
    </row>
    <row r="439" spans="1:6" x14ac:dyDescent="0.25">
      <c r="A439" s="1">
        <f t="shared" si="43"/>
        <v>438</v>
      </c>
      <c r="B439" s="1">
        <f t="shared" ca="1" si="38"/>
        <v>38</v>
      </c>
      <c r="C439" s="1">
        <f t="shared" ca="1" si="39"/>
        <v>0</v>
      </c>
      <c r="D439" s="1" t="str">
        <f t="shared" ca="1" si="40"/>
        <v>Homme</v>
      </c>
      <c r="E439" s="1">
        <f t="shared" ca="1" si="41"/>
        <v>2</v>
      </c>
      <c r="F439" s="1" t="str">
        <f t="shared" ca="1" si="42"/>
        <v>Défavorable</v>
      </c>
    </row>
    <row r="440" spans="1:6" x14ac:dyDescent="0.25">
      <c r="A440" s="1">
        <f t="shared" si="43"/>
        <v>439</v>
      </c>
      <c r="B440" s="1">
        <f t="shared" ca="1" si="38"/>
        <v>33</v>
      </c>
      <c r="C440" s="1">
        <f t="shared" ca="1" si="39"/>
        <v>1</v>
      </c>
      <c r="D440" s="1" t="str">
        <f t="shared" ca="1" si="40"/>
        <v>Femme</v>
      </c>
      <c r="E440" s="1">
        <f t="shared" ca="1" si="41"/>
        <v>2</v>
      </c>
      <c r="F440" s="1" t="str">
        <f t="shared" ca="1" si="42"/>
        <v>Défavorable</v>
      </c>
    </row>
    <row r="441" spans="1:6" x14ac:dyDescent="0.25">
      <c r="A441" s="1">
        <f t="shared" si="43"/>
        <v>440</v>
      </c>
      <c r="B441" s="1">
        <f t="shared" ca="1" si="38"/>
        <v>46</v>
      </c>
      <c r="C441" s="1">
        <f t="shared" ca="1" si="39"/>
        <v>0</v>
      </c>
      <c r="D441" s="1" t="str">
        <f t="shared" ca="1" si="40"/>
        <v>Homme</v>
      </c>
      <c r="E441" s="1">
        <f t="shared" ca="1" si="41"/>
        <v>1</v>
      </c>
      <c r="F441" s="1" t="str">
        <f t="shared" ca="1" si="42"/>
        <v>Favorable</v>
      </c>
    </row>
    <row r="442" spans="1:6" x14ac:dyDescent="0.25">
      <c r="A442" s="1">
        <f t="shared" si="43"/>
        <v>441</v>
      </c>
      <c r="B442" s="1">
        <f t="shared" ca="1" si="38"/>
        <v>35</v>
      </c>
      <c r="C442" s="1">
        <f t="shared" ca="1" si="39"/>
        <v>0</v>
      </c>
      <c r="D442" s="1" t="str">
        <f t="shared" ca="1" si="40"/>
        <v>Homme</v>
      </c>
      <c r="E442" s="1">
        <f t="shared" ca="1" si="41"/>
        <v>3</v>
      </c>
      <c r="F442" s="1" t="str">
        <f t="shared" ca="1" si="42"/>
        <v>Ne se prononce pas</v>
      </c>
    </row>
    <row r="443" spans="1:6" x14ac:dyDescent="0.25">
      <c r="A443" s="1">
        <f t="shared" si="43"/>
        <v>442</v>
      </c>
      <c r="B443" s="1">
        <f t="shared" ca="1" si="38"/>
        <v>33</v>
      </c>
      <c r="C443" s="1">
        <f t="shared" ca="1" si="39"/>
        <v>0</v>
      </c>
      <c r="D443" s="1" t="str">
        <f t="shared" ca="1" si="40"/>
        <v>Homme</v>
      </c>
      <c r="E443" s="1">
        <f t="shared" ca="1" si="41"/>
        <v>2</v>
      </c>
      <c r="F443" s="1" t="str">
        <f t="shared" ca="1" si="42"/>
        <v>Défavorable</v>
      </c>
    </row>
    <row r="444" spans="1:6" x14ac:dyDescent="0.25">
      <c r="A444" s="1">
        <f t="shared" si="43"/>
        <v>443</v>
      </c>
      <c r="B444" s="1">
        <f t="shared" ca="1" si="38"/>
        <v>39</v>
      </c>
      <c r="C444" s="1">
        <f t="shared" ca="1" si="39"/>
        <v>0</v>
      </c>
      <c r="D444" s="1" t="str">
        <f t="shared" ca="1" si="40"/>
        <v>Homme</v>
      </c>
      <c r="E444" s="1">
        <f t="shared" ca="1" si="41"/>
        <v>3</v>
      </c>
      <c r="F444" s="1" t="str">
        <f t="shared" ca="1" si="42"/>
        <v>Ne se prononce pas</v>
      </c>
    </row>
    <row r="445" spans="1:6" x14ac:dyDescent="0.25">
      <c r="A445" s="1">
        <f t="shared" si="43"/>
        <v>444</v>
      </c>
      <c r="B445" s="1">
        <f t="shared" ca="1" si="38"/>
        <v>47</v>
      </c>
      <c r="C445" s="1">
        <f t="shared" ca="1" si="39"/>
        <v>0</v>
      </c>
      <c r="D445" s="1" t="str">
        <f t="shared" ca="1" si="40"/>
        <v>Homme</v>
      </c>
      <c r="E445" s="1">
        <f t="shared" ca="1" si="41"/>
        <v>1</v>
      </c>
      <c r="F445" s="1" t="str">
        <f t="shared" ca="1" si="42"/>
        <v>Favorable</v>
      </c>
    </row>
    <row r="446" spans="1:6" x14ac:dyDescent="0.25">
      <c r="A446" s="1">
        <f t="shared" si="43"/>
        <v>445</v>
      </c>
      <c r="B446" s="1">
        <f t="shared" ca="1" si="38"/>
        <v>45</v>
      </c>
      <c r="C446" s="1">
        <f t="shared" ca="1" si="39"/>
        <v>1</v>
      </c>
      <c r="D446" s="1" t="str">
        <f t="shared" ca="1" si="40"/>
        <v>Femme</v>
      </c>
      <c r="E446" s="1">
        <f t="shared" ca="1" si="41"/>
        <v>2</v>
      </c>
      <c r="F446" s="1" t="str">
        <f t="shared" ca="1" si="42"/>
        <v>Défavorable</v>
      </c>
    </row>
    <row r="447" spans="1:6" x14ac:dyDescent="0.25">
      <c r="A447" s="1">
        <f t="shared" si="43"/>
        <v>446</v>
      </c>
      <c r="B447" s="1">
        <f t="shared" ca="1" si="38"/>
        <v>35</v>
      </c>
      <c r="C447" s="1">
        <f t="shared" ca="1" si="39"/>
        <v>1</v>
      </c>
      <c r="D447" s="1" t="str">
        <f t="shared" ca="1" si="40"/>
        <v>Femme</v>
      </c>
      <c r="E447" s="1">
        <f t="shared" ca="1" si="41"/>
        <v>2</v>
      </c>
      <c r="F447" s="1" t="str">
        <f t="shared" ca="1" si="42"/>
        <v>Défavorable</v>
      </c>
    </row>
    <row r="448" spans="1:6" x14ac:dyDescent="0.25">
      <c r="A448" s="1">
        <f t="shared" si="43"/>
        <v>447</v>
      </c>
      <c r="B448" s="1">
        <f t="shared" ca="1" si="38"/>
        <v>35</v>
      </c>
      <c r="C448" s="1">
        <f t="shared" ca="1" si="39"/>
        <v>1</v>
      </c>
      <c r="D448" s="1" t="str">
        <f t="shared" ca="1" si="40"/>
        <v>Femme</v>
      </c>
      <c r="E448" s="1">
        <f t="shared" ca="1" si="41"/>
        <v>1</v>
      </c>
      <c r="F448" s="1" t="str">
        <f t="shared" ca="1" si="42"/>
        <v>Favorable</v>
      </c>
    </row>
    <row r="449" spans="1:6" x14ac:dyDescent="0.25">
      <c r="A449" s="1">
        <f t="shared" si="43"/>
        <v>448</v>
      </c>
      <c r="B449" s="1">
        <f t="shared" ca="1" si="38"/>
        <v>50</v>
      </c>
      <c r="C449" s="1">
        <f t="shared" ca="1" si="39"/>
        <v>0</v>
      </c>
      <c r="D449" s="1" t="str">
        <f t="shared" ca="1" si="40"/>
        <v>Homme</v>
      </c>
      <c r="E449" s="1">
        <f t="shared" ca="1" si="41"/>
        <v>2</v>
      </c>
      <c r="F449" s="1" t="str">
        <f t="shared" ca="1" si="42"/>
        <v>Défavorable</v>
      </c>
    </row>
    <row r="450" spans="1:6" x14ac:dyDescent="0.25">
      <c r="A450" s="1">
        <f t="shared" si="43"/>
        <v>449</v>
      </c>
      <c r="B450" s="1">
        <f t="shared" ca="1" si="38"/>
        <v>44</v>
      </c>
      <c r="C450" s="1">
        <f t="shared" ca="1" si="39"/>
        <v>1</v>
      </c>
      <c r="D450" s="1" t="str">
        <f t="shared" ca="1" si="40"/>
        <v>Femme</v>
      </c>
      <c r="E450" s="1">
        <f t="shared" ca="1" si="41"/>
        <v>2</v>
      </c>
      <c r="F450" s="1" t="str">
        <f t="shared" ca="1" si="42"/>
        <v>Défavorable</v>
      </c>
    </row>
    <row r="451" spans="1:6" x14ac:dyDescent="0.25">
      <c r="A451" s="1">
        <f t="shared" si="43"/>
        <v>450</v>
      </c>
      <c r="B451" s="1">
        <f t="shared" ca="1" si="38"/>
        <v>31</v>
      </c>
      <c r="C451" s="1">
        <f t="shared" ca="1" si="39"/>
        <v>1</v>
      </c>
      <c r="D451" s="1" t="str">
        <f t="shared" ca="1" si="40"/>
        <v>Femme</v>
      </c>
      <c r="E451" s="1">
        <f t="shared" ca="1" si="41"/>
        <v>2</v>
      </c>
      <c r="F451" s="1" t="str">
        <f t="shared" ca="1" si="42"/>
        <v>Défavorable</v>
      </c>
    </row>
    <row r="452" spans="1:6" x14ac:dyDescent="0.25">
      <c r="A452" s="1">
        <f t="shared" si="43"/>
        <v>451</v>
      </c>
      <c r="B452" s="1">
        <f t="shared" ca="1" si="38"/>
        <v>37</v>
      </c>
      <c r="C452" s="1">
        <f t="shared" ca="1" si="39"/>
        <v>1</v>
      </c>
      <c r="D452" s="1" t="str">
        <f t="shared" ca="1" si="40"/>
        <v>Femme</v>
      </c>
      <c r="E452" s="1">
        <f t="shared" ca="1" si="41"/>
        <v>2</v>
      </c>
      <c r="F452" s="1" t="str">
        <f t="shared" ca="1" si="42"/>
        <v>Défavorable</v>
      </c>
    </row>
    <row r="453" spans="1:6" x14ac:dyDescent="0.25">
      <c r="A453" s="1">
        <f t="shared" si="43"/>
        <v>452</v>
      </c>
      <c r="B453" s="1">
        <f t="shared" ca="1" si="38"/>
        <v>38</v>
      </c>
      <c r="C453" s="1">
        <f t="shared" ca="1" si="39"/>
        <v>1</v>
      </c>
      <c r="D453" s="1" t="str">
        <f t="shared" ca="1" si="40"/>
        <v>Femme</v>
      </c>
      <c r="E453" s="1">
        <f t="shared" ca="1" si="41"/>
        <v>2</v>
      </c>
      <c r="F453" s="1" t="str">
        <f t="shared" ca="1" si="42"/>
        <v>Défavorable</v>
      </c>
    </row>
    <row r="454" spans="1:6" x14ac:dyDescent="0.25">
      <c r="A454" s="1">
        <f t="shared" si="43"/>
        <v>453</v>
      </c>
      <c r="B454" s="1">
        <f t="shared" ca="1" si="38"/>
        <v>49</v>
      </c>
      <c r="C454" s="1">
        <f t="shared" ca="1" si="39"/>
        <v>0</v>
      </c>
      <c r="D454" s="1" t="str">
        <f t="shared" ca="1" si="40"/>
        <v>Homme</v>
      </c>
      <c r="E454" s="1">
        <f t="shared" ca="1" si="41"/>
        <v>2</v>
      </c>
      <c r="F454" s="1" t="str">
        <f t="shared" ca="1" si="42"/>
        <v>Défavorable</v>
      </c>
    </row>
    <row r="455" spans="1:6" x14ac:dyDescent="0.25">
      <c r="A455" s="1">
        <f t="shared" si="43"/>
        <v>454</v>
      </c>
      <c r="B455" s="1">
        <f t="shared" ref="B455:B501" ca="1" si="44">RANDBETWEEN(30,50)</f>
        <v>41</v>
      </c>
      <c r="C455" s="1">
        <f t="shared" ref="C455:C501" ca="1" si="45">RANDBETWEEN(0,1)</f>
        <v>1</v>
      </c>
      <c r="D455" s="1" t="str">
        <f t="shared" ref="D455:D501" ca="1" si="46">IF(C455=0, "Homme", "Femme")</f>
        <v>Femme</v>
      </c>
      <c r="E455" s="1">
        <f t="shared" ref="E455:E501" ca="1" si="47">RANDBETWEEN(1,3)</f>
        <v>2</v>
      </c>
      <c r="F455" s="1" t="str">
        <f t="shared" ref="F455:F501" ca="1" si="48">IF(E455=1, "Favorable", IF(E455=2, "Défavorable", "Ne se prononce pas"))</f>
        <v>Défavorable</v>
      </c>
    </row>
    <row r="456" spans="1:6" x14ac:dyDescent="0.25">
      <c r="A456" s="1">
        <f t="shared" si="43"/>
        <v>455</v>
      </c>
      <c r="B456" s="1">
        <f t="shared" ca="1" si="44"/>
        <v>47</v>
      </c>
      <c r="C456" s="1">
        <f t="shared" ca="1" si="45"/>
        <v>0</v>
      </c>
      <c r="D456" s="1" t="str">
        <f t="shared" ca="1" si="46"/>
        <v>Homme</v>
      </c>
      <c r="E456" s="1">
        <f t="shared" ca="1" si="47"/>
        <v>1</v>
      </c>
      <c r="F456" s="1" t="str">
        <f t="shared" ca="1" si="48"/>
        <v>Favorable</v>
      </c>
    </row>
    <row r="457" spans="1:6" x14ac:dyDescent="0.25">
      <c r="A457" s="1">
        <f t="shared" si="43"/>
        <v>456</v>
      </c>
      <c r="B457" s="1">
        <f t="shared" ca="1" si="44"/>
        <v>42</v>
      </c>
      <c r="C457" s="1">
        <f t="shared" ca="1" si="45"/>
        <v>0</v>
      </c>
      <c r="D457" s="1" t="str">
        <f t="shared" ca="1" si="46"/>
        <v>Homme</v>
      </c>
      <c r="E457" s="1">
        <f t="shared" ca="1" si="47"/>
        <v>3</v>
      </c>
      <c r="F457" s="1" t="str">
        <f t="shared" ca="1" si="48"/>
        <v>Ne se prononce pas</v>
      </c>
    </row>
    <row r="458" spans="1:6" x14ac:dyDescent="0.25">
      <c r="A458" s="1">
        <f t="shared" si="43"/>
        <v>457</v>
      </c>
      <c r="B458" s="1">
        <f t="shared" ca="1" si="44"/>
        <v>38</v>
      </c>
      <c r="C458" s="1">
        <f t="shared" ca="1" si="45"/>
        <v>1</v>
      </c>
      <c r="D458" s="1" t="str">
        <f t="shared" ca="1" si="46"/>
        <v>Femme</v>
      </c>
      <c r="E458" s="1">
        <f t="shared" ca="1" si="47"/>
        <v>2</v>
      </c>
      <c r="F458" s="1" t="str">
        <f t="shared" ca="1" si="48"/>
        <v>Défavorable</v>
      </c>
    </row>
    <row r="459" spans="1:6" x14ac:dyDescent="0.25">
      <c r="A459" s="1">
        <f t="shared" si="43"/>
        <v>458</v>
      </c>
      <c r="B459" s="1">
        <f t="shared" ca="1" si="44"/>
        <v>47</v>
      </c>
      <c r="C459" s="1">
        <f t="shared" ca="1" si="45"/>
        <v>0</v>
      </c>
      <c r="D459" s="1" t="str">
        <f t="shared" ca="1" si="46"/>
        <v>Homme</v>
      </c>
      <c r="E459" s="1">
        <f t="shared" ca="1" si="47"/>
        <v>2</v>
      </c>
      <c r="F459" s="1" t="str">
        <f t="shared" ca="1" si="48"/>
        <v>Défavorable</v>
      </c>
    </row>
    <row r="460" spans="1:6" x14ac:dyDescent="0.25">
      <c r="A460" s="1">
        <f t="shared" si="43"/>
        <v>459</v>
      </c>
      <c r="B460" s="1">
        <f t="shared" ca="1" si="44"/>
        <v>30</v>
      </c>
      <c r="C460" s="1">
        <f t="shared" ca="1" si="45"/>
        <v>1</v>
      </c>
      <c r="D460" s="1" t="str">
        <f t="shared" ca="1" si="46"/>
        <v>Femme</v>
      </c>
      <c r="E460" s="1">
        <f t="shared" ca="1" si="47"/>
        <v>3</v>
      </c>
      <c r="F460" s="1" t="str">
        <f t="shared" ca="1" si="48"/>
        <v>Ne se prononce pas</v>
      </c>
    </row>
    <row r="461" spans="1:6" x14ac:dyDescent="0.25">
      <c r="A461" s="1">
        <f t="shared" si="43"/>
        <v>460</v>
      </c>
      <c r="B461" s="1">
        <f t="shared" ca="1" si="44"/>
        <v>41</v>
      </c>
      <c r="C461" s="1">
        <f t="shared" ca="1" si="45"/>
        <v>1</v>
      </c>
      <c r="D461" s="1" t="str">
        <f t="shared" ca="1" si="46"/>
        <v>Femme</v>
      </c>
      <c r="E461" s="1">
        <f t="shared" ca="1" si="47"/>
        <v>1</v>
      </c>
      <c r="F461" s="1" t="str">
        <f t="shared" ca="1" si="48"/>
        <v>Favorable</v>
      </c>
    </row>
    <row r="462" spans="1:6" x14ac:dyDescent="0.25">
      <c r="A462" s="1">
        <f t="shared" si="43"/>
        <v>461</v>
      </c>
      <c r="B462" s="1">
        <f t="shared" ca="1" si="44"/>
        <v>33</v>
      </c>
      <c r="C462" s="1">
        <f t="shared" ca="1" si="45"/>
        <v>0</v>
      </c>
      <c r="D462" s="1" t="str">
        <f t="shared" ca="1" si="46"/>
        <v>Homme</v>
      </c>
      <c r="E462" s="1">
        <f t="shared" ca="1" si="47"/>
        <v>1</v>
      </c>
      <c r="F462" s="1" t="str">
        <f t="shared" ca="1" si="48"/>
        <v>Favorable</v>
      </c>
    </row>
    <row r="463" spans="1:6" x14ac:dyDescent="0.25">
      <c r="A463" s="1">
        <f t="shared" si="43"/>
        <v>462</v>
      </c>
      <c r="B463" s="1">
        <f t="shared" ca="1" si="44"/>
        <v>37</v>
      </c>
      <c r="C463" s="1">
        <f t="shared" ca="1" si="45"/>
        <v>1</v>
      </c>
      <c r="D463" s="1" t="str">
        <f t="shared" ca="1" si="46"/>
        <v>Femme</v>
      </c>
      <c r="E463" s="1">
        <f t="shared" ca="1" si="47"/>
        <v>1</v>
      </c>
      <c r="F463" s="1" t="str">
        <f t="shared" ca="1" si="48"/>
        <v>Favorable</v>
      </c>
    </row>
    <row r="464" spans="1:6" x14ac:dyDescent="0.25">
      <c r="A464" s="1">
        <f t="shared" si="43"/>
        <v>463</v>
      </c>
      <c r="B464" s="1">
        <f t="shared" ca="1" si="44"/>
        <v>45</v>
      </c>
      <c r="C464" s="1">
        <f t="shared" ca="1" si="45"/>
        <v>0</v>
      </c>
      <c r="D464" s="1" t="str">
        <f t="shared" ca="1" si="46"/>
        <v>Homme</v>
      </c>
      <c r="E464" s="1">
        <f t="shared" ca="1" si="47"/>
        <v>1</v>
      </c>
      <c r="F464" s="1" t="str">
        <f t="shared" ca="1" si="48"/>
        <v>Favorable</v>
      </c>
    </row>
    <row r="465" spans="1:6" x14ac:dyDescent="0.25">
      <c r="A465" s="1">
        <f t="shared" si="43"/>
        <v>464</v>
      </c>
      <c r="B465" s="1">
        <f t="shared" ca="1" si="44"/>
        <v>31</v>
      </c>
      <c r="C465" s="1">
        <f t="shared" ca="1" si="45"/>
        <v>1</v>
      </c>
      <c r="D465" s="1" t="str">
        <f t="shared" ca="1" si="46"/>
        <v>Femme</v>
      </c>
      <c r="E465" s="1">
        <f t="shared" ca="1" si="47"/>
        <v>2</v>
      </c>
      <c r="F465" s="1" t="str">
        <f t="shared" ca="1" si="48"/>
        <v>Défavorable</v>
      </c>
    </row>
    <row r="466" spans="1:6" x14ac:dyDescent="0.25">
      <c r="A466" s="1">
        <f t="shared" si="43"/>
        <v>465</v>
      </c>
      <c r="B466" s="1">
        <f t="shared" ca="1" si="44"/>
        <v>44</v>
      </c>
      <c r="C466" s="1">
        <f t="shared" ca="1" si="45"/>
        <v>1</v>
      </c>
      <c r="D466" s="1" t="str">
        <f t="shared" ca="1" si="46"/>
        <v>Femme</v>
      </c>
      <c r="E466" s="1">
        <f t="shared" ca="1" si="47"/>
        <v>1</v>
      </c>
      <c r="F466" s="1" t="str">
        <f t="shared" ca="1" si="48"/>
        <v>Favorable</v>
      </c>
    </row>
    <row r="467" spans="1:6" x14ac:dyDescent="0.25">
      <c r="A467" s="1">
        <f t="shared" si="43"/>
        <v>466</v>
      </c>
      <c r="B467" s="1">
        <f t="shared" ca="1" si="44"/>
        <v>44</v>
      </c>
      <c r="C467" s="1">
        <f t="shared" ca="1" si="45"/>
        <v>0</v>
      </c>
      <c r="D467" s="1" t="str">
        <f t="shared" ca="1" si="46"/>
        <v>Homme</v>
      </c>
      <c r="E467" s="1">
        <f t="shared" ca="1" si="47"/>
        <v>2</v>
      </c>
      <c r="F467" s="1" t="str">
        <f t="shared" ca="1" si="48"/>
        <v>Défavorable</v>
      </c>
    </row>
    <row r="468" spans="1:6" x14ac:dyDescent="0.25">
      <c r="A468" s="1">
        <f t="shared" si="43"/>
        <v>467</v>
      </c>
      <c r="B468" s="1">
        <f t="shared" ca="1" si="44"/>
        <v>44</v>
      </c>
      <c r="C468" s="1">
        <f t="shared" ca="1" si="45"/>
        <v>1</v>
      </c>
      <c r="D468" s="1" t="str">
        <f t="shared" ca="1" si="46"/>
        <v>Femme</v>
      </c>
      <c r="E468" s="1">
        <f t="shared" ca="1" si="47"/>
        <v>3</v>
      </c>
      <c r="F468" s="1" t="str">
        <f t="shared" ca="1" si="48"/>
        <v>Ne se prononce pas</v>
      </c>
    </row>
    <row r="469" spans="1:6" x14ac:dyDescent="0.25">
      <c r="A469" s="1">
        <f t="shared" si="43"/>
        <v>468</v>
      </c>
      <c r="B469" s="1">
        <f t="shared" ca="1" si="44"/>
        <v>30</v>
      </c>
      <c r="C469" s="1">
        <f t="shared" ca="1" si="45"/>
        <v>1</v>
      </c>
      <c r="D469" s="1" t="str">
        <f t="shared" ca="1" si="46"/>
        <v>Femme</v>
      </c>
      <c r="E469" s="1">
        <f t="shared" ca="1" si="47"/>
        <v>2</v>
      </c>
      <c r="F469" s="1" t="str">
        <f t="shared" ca="1" si="48"/>
        <v>Défavorable</v>
      </c>
    </row>
    <row r="470" spans="1:6" x14ac:dyDescent="0.25">
      <c r="A470" s="1">
        <f t="shared" si="43"/>
        <v>469</v>
      </c>
      <c r="B470" s="1">
        <f t="shared" ca="1" si="44"/>
        <v>47</v>
      </c>
      <c r="C470" s="1">
        <f t="shared" ca="1" si="45"/>
        <v>0</v>
      </c>
      <c r="D470" s="1" t="str">
        <f t="shared" ca="1" si="46"/>
        <v>Homme</v>
      </c>
      <c r="E470" s="1">
        <f t="shared" ca="1" si="47"/>
        <v>3</v>
      </c>
      <c r="F470" s="1" t="str">
        <f t="shared" ca="1" si="48"/>
        <v>Ne se prononce pas</v>
      </c>
    </row>
    <row r="471" spans="1:6" x14ac:dyDescent="0.25">
      <c r="A471" s="1">
        <f t="shared" si="43"/>
        <v>470</v>
      </c>
      <c r="B471" s="1">
        <f t="shared" ca="1" si="44"/>
        <v>34</v>
      </c>
      <c r="C471" s="1">
        <f t="shared" ca="1" si="45"/>
        <v>1</v>
      </c>
      <c r="D471" s="1" t="str">
        <f t="shared" ca="1" si="46"/>
        <v>Femme</v>
      </c>
      <c r="E471" s="1">
        <f t="shared" ca="1" si="47"/>
        <v>2</v>
      </c>
      <c r="F471" s="1" t="str">
        <f t="shared" ca="1" si="48"/>
        <v>Défavorable</v>
      </c>
    </row>
    <row r="472" spans="1:6" x14ac:dyDescent="0.25">
      <c r="A472" s="1">
        <f t="shared" si="43"/>
        <v>471</v>
      </c>
      <c r="B472" s="1">
        <f t="shared" ca="1" si="44"/>
        <v>33</v>
      </c>
      <c r="C472" s="1">
        <f t="shared" ca="1" si="45"/>
        <v>0</v>
      </c>
      <c r="D472" s="1" t="str">
        <f t="shared" ca="1" si="46"/>
        <v>Homme</v>
      </c>
      <c r="E472" s="1">
        <f t="shared" ca="1" si="47"/>
        <v>3</v>
      </c>
      <c r="F472" s="1" t="str">
        <f t="shared" ca="1" si="48"/>
        <v>Ne se prononce pas</v>
      </c>
    </row>
    <row r="473" spans="1:6" x14ac:dyDescent="0.25">
      <c r="A473" s="1">
        <f t="shared" si="43"/>
        <v>472</v>
      </c>
      <c r="B473" s="1">
        <f t="shared" ca="1" si="44"/>
        <v>38</v>
      </c>
      <c r="C473" s="1">
        <f t="shared" ca="1" si="45"/>
        <v>0</v>
      </c>
      <c r="D473" s="1" t="str">
        <f t="shared" ca="1" si="46"/>
        <v>Homme</v>
      </c>
      <c r="E473" s="1">
        <f t="shared" ca="1" si="47"/>
        <v>3</v>
      </c>
      <c r="F473" s="1" t="str">
        <f t="shared" ca="1" si="48"/>
        <v>Ne se prononce pas</v>
      </c>
    </row>
    <row r="474" spans="1:6" x14ac:dyDescent="0.25">
      <c r="A474" s="1">
        <f t="shared" si="43"/>
        <v>473</v>
      </c>
      <c r="B474" s="1">
        <f t="shared" ca="1" si="44"/>
        <v>45</v>
      </c>
      <c r="C474" s="1">
        <f t="shared" ca="1" si="45"/>
        <v>1</v>
      </c>
      <c r="D474" s="1" t="str">
        <f t="shared" ca="1" si="46"/>
        <v>Femme</v>
      </c>
      <c r="E474" s="1">
        <f t="shared" ca="1" si="47"/>
        <v>2</v>
      </c>
      <c r="F474" s="1" t="str">
        <f t="shared" ca="1" si="48"/>
        <v>Défavorable</v>
      </c>
    </row>
    <row r="475" spans="1:6" x14ac:dyDescent="0.25">
      <c r="A475" s="1">
        <f t="shared" si="43"/>
        <v>474</v>
      </c>
      <c r="B475" s="1">
        <f t="shared" ca="1" si="44"/>
        <v>45</v>
      </c>
      <c r="C475" s="1">
        <f t="shared" ca="1" si="45"/>
        <v>1</v>
      </c>
      <c r="D475" s="1" t="str">
        <f t="shared" ca="1" si="46"/>
        <v>Femme</v>
      </c>
      <c r="E475" s="1">
        <f t="shared" ca="1" si="47"/>
        <v>1</v>
      </c>
      <c r="F475" s="1" t="str">
        <f t="shared" ca="1" si="48"/>
        <v>Favorable</v>
      </c>
    </row>
    <row r="476" spans="1:6" x14ac:dyDescent="0.25">
      <c r="A476" s="1">
        <f t="shared" si="43"/>
        <v>475</v>
      </c>
      <c r="B476" s="1">
        <f t="shared" ca="1" si="44"/>
        <v>45</v>
      </c>
      <c r="C476" s="1">
        <f t="shared" ca="1" si="45"/>
        <v>0</v>
      </c>
      <c r="D476" s="1" t="str">
        <f t="shared" ca="1" si="46"/>
        <v>Homme</v>
      </c>
      <c r="E476" s="1">
        <f t="shared" ca="1" si="47"/>
        <v>3</v>
      </c>
      <c r="F476" s="1" t="str">
        <f t="shared" ca="1" si="48"/>
        <v>Ne se prononce pas</v>
      </c>
    </row>
    <row r="477" spans="1:6" x14ac:dyDescent="0.25">
      <c r="A477" s="1">
        <f t="shared" si="43"/>
        <v>476</v>
      </c>
      <c r="B477" s="1">
        <f t="shared" ca="1" si="44"/>
        <v>43</v>
      </c>
      <c r="C477" s="1">
        <f t="shared" ca="1" si="45"/>
        <v>1</v>
      </c>
      <c r="D477" s="1" t="str">
        <f t="shared" ca="1" si="46"/>
        <v>Femme</v>
      </c>
      <c r="E477" s="1">
        <f t="shared" ca="1" si="47"/>
        <v>3</v>
      </c>
      <c r="F477" s="1" t="str">
        <f t="shared" ca="1" si="48"/>
        <v>Ne se prononce pas</v>
      </c>
    </row>
    <row r="478" spans="1:6" x14ac:dyDescent="0.25">
      <c r="A478" s="1">
        <f t="shared" si="43"/>
        <v>477</v>
      </c>
      <c r="B478" s="1">
        <f t="shared" ca="1" si="44"/>
        <v>37</v>
      </c>
      <c r="C478" s="1">
        <f t="shared" ca="1" si="45"/>
        <v>0</v>
      </c>
      <c r="D478" s="1" t="str">
        <f t="shared" ca="1" si="46"/>
        <v>Homme</v>
      </c>
      <c r="E478" s="1">
        <f t="shared" ca="1" si="47"/>
        <v>3</v>
      </c>
      <c r="F478" s="1" t="str">
        <f t="shared" ca="1" si="48"/>
        <v>Ne se prononce pas</v>
      </c>
    </row>
    <row r="479" spans="1:6" x14ac:dyDescent="0.25">
      <c r="A479" s="1">
        <f t="shared" si="43"/>
        <v>478</v>
      </c>
      <c r="B479" s="1">
        <f t="shared" ca="1" si="44"/>
        <v>35</v>
      </c>
      <c r="C479" s="1">
        <f t="shared" ca="1" si="45"/>
        <v>1</v>
      </c>
      <c r="D479" s="1" t="str">
        <f t="shared" ca="1" si="46"/>
        <v>Femme</v>
      </c>
      <c r="E479" s="1">
        <f t="shared" ca="1" si="47"/>
        <v>1</v>
      </c>
      <c r="F479" s="1" t="str">
        <f t="shared" ca="1" si="48"/>
        <v>Favorable</v>
      </c>
    </row>
    <row r="480" spans="1:6" x14ac:dyDescent="0.25">
      <c r="A480" s="1">
        <f t="shared" si="43"/>
        <v>479</v>
      </c>
      <c r="B480" s="1">
        <f t="shared" ca="1" si="44"/>
        <v>31</v>
      </c>
      <c r="C480" s="1">
        <f t="shared" ca="1" si="45"/>
        <v>1</v>
      </c>
      <c r="D480" s="1" t="str">
        <f t="shared" ca="1" si="46"/>
        <v>Femme</v>
      </c>
      <c r="E480" s="1">
        <f t="shared" ca="1" si="47"/>
        <v>1</v>
      </c>
      <c r="F480" s="1" t="str">
        <f t="shared" ca="1" si="48"/>
        <v>Favorable</v>
      </c>
    </row>
    <row r="481" spans="1:6" x14ac:dyDescent="0.25">
      <c r="A481" s="1">
        <f t="shared" si="43"/>
        <v>480</v>
      </c>
      <c r="B481" s="1">
        <f t="shared" ca="1" si="44"/>
        <v>35</v>
      </c>
      <c r="C481" s="1">
        <f t="shared" ca="1" si="45"/>
        <v>1</v>
      </c>
      <c r="D481" s="1" t="str">
        <f t="shared" ca="1" si="46"/>
        <v>Femme</v>
      </c>
      <c r="E481" s="1">
        <f t="shared" ca="1" si="47"/>
        <v>2</v>
      </c>
      <c r="F481" s="1" t="str">
        <f t="shared" ca="1" si="48"/>
        <v>Défavorable</v>
      </c>
    </row>
    <row r="482" spans="1:6" x14ac:dyDescent="0.25">
      <c r="A482" s="1">
        <f t="shared" ref="A482:A500" si="49">A481+1</f>
        <v>481</v>
      </c>
      <c r="B482" s="1">
        <f t="shared" ca="1" si="44"/>
        <v>31</v>
      </c>
      <c r="C482" s="1">
        <f t="shared" ca="1" si="45"/>
        <v>1</v>
      </c>
      <c r="D482" s="1" t="str">
        <f t="shared" ca="1" si="46"/>
        <v>Femme</v>
      </c>
      <c r="E482" s="1">
        <f t="shared" ca="1" si="47"/>
        <v>3</v>
      </c>
      <c r="F482" s="1" t="str">
        <f t="shared" ca="1" si="48"/>
        <v>Ne se prononce pas</v>
      </c>
    </row>
    <row r="483" spans="1:6" x14ac:dyDescent="0.25">
      <c r="A483" s="1">
        <f t="shared" si="49"/>
        <v>482</v>
      </c>
      <c r="B483" s="1">
        <f t="shared" ca="1" si="44"/>
        <v>40</v>
      </c>
      <c r="C483" s="1">
        <f t="shared" ca="1" si="45"/>
        <v>0</v>
      </c>
      <c r="D483" s="1" t="str">
        <f t="shared" ca="1" si="46"/>
        <v>Homme</v>
      </c>
      <c r="E483" s="1">
        <f t="shared" ca="1" si="47"/>
        <v>1</v>
      </c>
      <c r="F483" s="1" t="str">
        <f t="shared" ca="1" si="48"/>
        <v>Favorable</v>
      </c>
    </row>
    <row r="484" spans="1:6" x14ac:dyDescent="0.25">
      <c r="A484" s="1">
        <f t="shared" si="49"/>
        <v>483</v>
      </c>
      <c r="B484" s="1">
        <f t="shared" ca="1" si="44"/>
        <v>47</v>
      </c>
      <c r="C484" s="1">
        <f t="shared" ca="1" si="45"/>
        <v>1</v>
      </c>
      <c r="D484" s="1" t="str">
        <f t="shared" ca="1" si="46"/>
        <v>Femme</v>
      </c>
      <c r="E484" s="1">
        <f t="shared" ca="1" si="47"/>
        <v>2</v>
      </c>
      <c r="F484" s="1" t="str">
        <f t="shared" ca="1" si="48"/>
        <v>Défavorable</v>
      </c>
    </row>
    <row r="485" spans="1:6" x14ac:dyDescent="0.25">
      <c r="A485" s="1">
        <f t="shared" si="49"/>
        <v>484</v>
      </c>
      <c r="B485" s="1">
        <f t="shared" ca="1" si="44"/>
        <v>43</v>
      </c>
      <c r="C485" s="1">
        <f t="shared" ca="1" si="45"/>
        <v>0</v>
      </c>
      <c r="D485" s="1" t="str">
        <f t="shared" ca="1" si="46"/>
        <v>Homme</v>
      </c>
      <c r="E485" s="1">
        <f t="shared" ca="1" si="47"/>
        <v>1</v>
      </c>
      <c r="F485" s="1" t="str">
        <f t="shared" ca="1" si="48"/>
        <v>Favorable</v>
      </c>
    </row>
    <row r="486" spans="1:6" x14ac:dyDescent="0.25">
      <c r="A486" s="1">
        <f t="shared" si="49"/>
        <v>485</v>
      </c>
      <c r="B486" s="1">
        <f t="shared" ca="1" si="44"/>
        <v>30</v>
      </c>
      <c r="C486" s="1">
        <f t="shared" ca="1" si="45"/>
        <v>1</v>
      </c>
      <c r="D486" s="1" t="str">
        <f t="shared" ca="1" si="46"/>
        <v>Femme</v>
      </c>
      <c r="E486" s="1">
        <f t="shared" ca="1" si="47"/>
        <v>3</v>
      </c>
      <c r="F486" s="1" t="str">
        <f t="shared" ca="1" si="48"/>
        <v>Ne se prononce pas</v>
      </c>
    </row>
    <row r="487" spans="1:6" x14ac:dyDescent="0.25">
      <c r="A487" s="1">
        <f t="shared" si="49"/>
        <v>486</v>
      </c>
      <c r="B487" s="1">
        <f t="shared" ca="1" si="44"/>
        <v>43</v>
      </c>
      <c r="C487" s="1">
        <f t="shared" ca="1" si="45"/>
        <v>1</v>
      </c>
      <c r="D487" s="1" t="str">
        <f t="shared" ca="1" si="46"/>
        <v>Femme</v>
      </c>
      <c r="E487" s="1">
        <f t="shared" ca="1" si="47"/>
        <v>3</v>
      </c>
      <c r="F487" s="1" t="str">
        <f t="shared" ca="1" si="48"/>
        <v>Ne se prononce pas</v>
      </c>
    </row>
    <row r="488" spans="1:6" x14ac:dyDescent="0.25">
      <c r="A488" s="1">
        <f t="shared" si="49"/>
        <v>487</v>
      </c>
      <c r="B488" s="1">
        <f t="shared" ca="1" si="44"/>
        <v>40</v>
      </c>
      <c r="C488" s="1">
        <f t="shared" ca="1" si="45"/>
        <v>0</v>
      </c>
      <c r="D488" s="1" t="str">
        <f t="shared" ca="1" si="46"/>
        <v>Homme</v>
      </c>
      <c r="E488" s="1">
        <f t="shared" ca="1" si="47"/>
        <v>1</v>
      </c>
      <c r="F488" s="1" t="str">
        <f t="shared" ca="1" si="48"/>
        <v>Favorable</v>
      </c>
    </row>
    <row r="489" spans="1:6" x14ac:dyDescent="0.25">
      <c r="A489" s="1">
        <f t="shared" si="49"/>
        <v>488</v>
      </c>
      <c r="B489" s="1">
        <f t="shared" ca="1" si="44"/>
        <v>43</v>
      </c>
      <c r="C489" s="1">
        <f t="shared" ca="1" si="45"/>
        <v>1</v>
      </c>
      <c r="D489" s="1" t="str">
        <f t="shared" ca="1" si="46"/>
        <v>Femme</v>
      </c>
      <c r="E489" s="1">
        <f t="shared" ca="1" si="47"/>
        <v>3</v>
      </c>
      <c r="F489" s="1" t="str">
        <f t="shared" ca="1" si="48"/>
        <v>Ne se prononce pas</v>
      </c>
    </row>
    <row r="490" spans="1:6" x14ac:dyDescent="0.25">
      <c r="A490" s="1">
        <f t="shared" si="49"/>
        <v>489</v>
      </c>
      <c r="B490" s="1">
        <f t="shared" ca="1" si="44"/>
        <v>32</v>
      </c>
      <c r="C490" s="1">
        <f t="shared" ca="1" si="45"/>
        <v>0</v>
      </c>
      <c r="D490" s="1" t="str">
        <f t="shared" ca="1" si="46"/>
        <v>Homme</v>
      </c>
      <c r="E490" s="1">
        <f t="shared" ca="1" si="47"/>
        <v>2</v>
      </c>
      <c r="F490" s="1" t="str">
        <f t="shared" ca="1" si="48"/>
        <v>Défavorable</v>
      </c>
    </row>
    <row r="491" spans="1:6" x14ac:dyDescent="0.25">
      <c r="A491" s="1">
        <f t="shared" si="49"/>
        <v>490</v>
      </c>
      <c r="B491" s="1">
        <f t="shared" ca="1" si="44"/>
        <v>44</v>
      </c>
      <c r="C491" s="1">
        <f t="shared" ca="1" si="45"/>
        <v>1</v>
      </c>
      <c r="D491" s="1" t="str">
        <f t="shared" ca="1" si="46"/>
        <v>Femme</v>
      </c>
      <c r="E491" s="1">
        <f t="shared" ca="1" si="47"/>
        <v>1</v>
      </c>
      <c r="F491" s="1" t="str">
        <f t="shared" ca="1" si="48"/>
        <v>Favorable</v>
      </c>
    </row>
    <row r="492" spans="1:6" x14ac:dyDescent="0.25">
      <c r="A492" s="1">
        <f t="shared" si="49"/>
        <v>491</v>
      </c>
      <c r="B492" s="1">
        <f t="shared" ca="1" si="44"/>
        <v>42</v>
      </c>
      <c r="C492" s="1">
        <f t="shared" ca="1" si="45"/>
        <v>0</v>
      </c>
      <c r="D492" s="1" t="str">
        <f t="shared" ca="1" si="46"/>
        <v>Homme</v>
      </c>
      <c r="E492" s="1">
        <f t="shared" ca="1" si="47"/>
        <v>3</v>
      </c>
      <c r="F492" s="1" t="str">
        <f t="shared" ca="1" si="48"/>
        <v>Ne se prononce pas</v>
      </c>
    </row>
    <row r="493" spans="1:6" x14ac:dyDescent="0.25">
      <c r="A493" s="1">
        <f t="shared" si="49"/>
        <v>492</v>
      </c>
      <c r="B493" s="1">
        <f t="shared" ca="1" si="44"/>
        <v>38</v>
      </c>
      <c r="C493" s="1">
        <f t="shared" ca="1" si="45"/>
        <v>0</v>
      </c>
      <c r="D493" s="1" t="str">
        <f t="shared" ca="1" si="46"/>
        <v>Homme</v>
      </c>
      <c r="E493" s="1">
        <f t="shared" ca="1" si="47"/>
        <v>2</v>
      </c>
      <c r="F493" s="1" t="str">
        <f t="shared" ca="1" si="48"/>
        <v>Défavorable</v>
      </c>
    </row>
    <row r="494" spans="1:6" x14ac:dyDescent="0.25">
      <c r="A494" s="1">
        <f t="shared" si="49"/>
        <v>493</v>
      </c>
      <c r="B494" s="1">
        <f t="shared" ca="1" si="44"/>
        <v>32</v>
      </c>
      <c r="C494" s="1">
        <f t="shared" ca="1" si="45"/>
        <v>1</v>
      </c>
      <c r="D494" s="1" t="str">
        <f t="shared" ca="1" si="46"/>
        <v>Femme</v>
      </c>
      <c r="E494" s="1">
        <f t="shared" ca="1" si="47"/>
        <v>1</v>
      </c>
      <c r="F494" s="1" t="str">
        <f t="shared" ca="1" si="48"/>
        <v>Favorable</v>
      </c>
    </row>
    <row r="495" spans="1:6" x14ac:dyDescent="0.25">
      <c r="A495" s="1">
        <f t="shared" si="49"/>
        <v>494</v>
      </c>
      <c r="B495" s="1">
        <f t="shared" ca="1" si="44"/>
        <v>45</v>
      </c>
      <c r="C495" s="1">
        <f t="shared" ca="1" si="45"/>
        <v>1</v>
      </c>
      <c r="D495" s="1" t="str">
        <f t="shared" ca="1" si="46"/>
        <v>Femme</v>
      </c>
      <c r="E495" s="1">
        <f t="shared" ca="1" si="47"/>
        <v>1</v>
      </c>
      <c r="F495" s="1" t="str">
        <f t="shared" ca="1" si="48"/>
        <v>Favorable</v>
      </c>
    </row>
    <row r="496" spans="1:6" x14ac:dyDescent="0.25">
      <c r="A496" s="1">
        <f t="shared" si="49"/>
        <v>495</v>
      </c>
      <c r="B496" s="1">
        <f t="shared" ca="1" si="44"/>
        <v>32</v>
      </c>
      <c r="C496" s="1">
        <f t="shared" ca="1" si="45"/>
        <v>0</v>
      </c>
      <c r="D496" s="1" t="str">
        <f t="shared" ca="1" si="46"/>
        <v>Homme</v>
      </c>
      <c r="E496" s="1">
        <f t="shared" ca="1" si="47"/>
        <v>2</v>
      </c>
      <c r="F496" s="1" t="str">
        <f t="shared" ca="1" si="48"/>
        <v>Défavorable</v>
      </c>
    </row>
    <row r="497" spans="1:6" x14ac:dyDescent="0.25">
      <c r="A497" s="1">
        <f t="shared" si="49"/>
        <v>496</v>
      </c>
      <c r="B497" s="1">
        <f t="shared" ca="1" si="44"/>
        <v>40</v>
      </c>
      <c r="C497" s="1">
        <f t="shared" ca="1" si="45"/>
        <v>0</v>
      </c>
      <c r="D497" s="1" t="str">
        <f t="shared" ca="1" si="46"/>
        <v>Homme</v>
      </c>
      <c r="E497" s="1">
        <f t="shared" ca="1" si="47"/>
        <v>2</v>
      </c>
      <c r="F497" s="1" t="str">
        <f t="shared" ca="1" si="48"/>
        <v>Défavorable</v>
      </c>
    </row>
    <row r="498" spans="1:6" x14ac:dyDescent="0.25">
      <c r="A498" s="1">
        <f t="shared" si="49"/>
        <v>497</v>
      </c>
      <c r="B498" s="1">
        <f t="shared" ca="1" si="44"/>
        <v>33</v>
      </c>
      <c r="C498" s="1">
        <f t="shared" ca="1" si="45"/>
        <v>0</v>
      </c>
      <c r="D498" s="1" t="str">
        <f t="shared" ca="1" si="46"/>
        <v>Homme</v>
      </c>
      <c r="E498" s="1">
        <f t="shared" ca="1" si="47"/>
        <v>1</v>
      </c>
      <c r="F498" s="1" t="str">
        <f t="shared" ca="1" si="48"/>
        <v>Favorable</v>
      </c>
    </row>
    <row r="499" spans="1:6" x14ac:dyDescent="0.25">
      <c r="A499" s="1">
        <f t="shared" si="49"/>
        <v>498</v>
      </c>
      <c r="B499" s="1">
        <f t="shared" ca="1" si="44"/>
        <v>47</v>
      </c>
      <c r="C499" s="1">
        <f t="shared" ca="1" si="45"/>
        <v>1</v>
      </c>
      <c r="D499" s="1" t="str">
        <f t="shared" ca="1" si="46"/>
        <v>Femme</v>
      </c>
      <c r="E499" s="1">
        <f t="shared" ca="1" si="47"/>
        <v>3</v>
      </c>
      <c r="F499" s="1" t="str">
        <f t="shared" ca="1" si="48"/>
        <v>Ne se prononce pas</v>
      </c>
    </row>
    <row r="500" spans="1:6" x14ac:dyDescent="0.25">
      <c r="A500" s="1">
        <f t="shared" si="49"/>
        <v>499</v>
      </c>
      <c r="B500" s="1">
        <f t="shared" ca="1" si="44"/>
        <v>50</v>
      </c>
      <c r="C500" s="1">
        <f t="shared" ca="1" si="45"/>
        <v>1</v>
      </c>
      <c r="D500" s="1" t="str">
        <f t="shared" ca="1" si="46"/>
        <v>Femme</v>
      </c>
      <c r="E500" s="1">
        <f t="shared" ca="1" si="47"/>
        <v>2</v>
      </c>
      <c r="F500" s="1" t="str">
        <f t="shared" ca="1" si="48"/>
        <v>Défavorable</v>
      </c>
    </row>
    <row r="501" spans="1:6" x14ac:dyDescent="0.25">
      <c r="A501" s="1">
        <f t="shared" ref="A501" si="50">A500+1</f>
        <v>500</v>
      </c>
      <c r="B501" s="1">
        <f t="shared" ca="1" si="44"/>
        <v>35</v>
      </c>
      <c r="C501" s="1">
        <f t="shared" ca="1" si="45"/>
        <v>1</v>
      </c>
      <c r="D501" s="1" t="str">
        <f t="shared" ca="1" si="46"/>
        <v>Femme</v>
      </c>
      <c r="E501" s="1">
        <f t="shared" ca="1" si="47"/>
        <v>3</v>
      </c>
      <c r="F501" s="1" t="str">
        <f t="shared" ca="1" si="48"/>
        <v>Ne se prononce pas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6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Tableau à 500 individus</vt:lpstr>
      <vt:lpstr>Echantillon population total</vt:lpstr>
      <vt:lpstr>Echantillon Homme</vt:lpstr>
      <vt:lpstr>Echantillon Femme</vt:lpstr>
      <vt:lpstr>Formules</vt:lpstr>
      <vt:lpstr>Feuil3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Fatma BOUALI</dc:creator>
  <cp:lastModifiedBy>Adam</cp:lastModifiedBy>
  <dcterms:created xsi:type="dcterms:W3CDTF">2022-05-03T12:10:11Z</dcterms:created>
  <dcterms:modified xsi:type="dcterms:W3CDTF">2025-05-29T11:00:41Z</dcterms:modified>
</cp:coreProperties>
</file>