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346300\Downloads\"/>
    </mc:Choice>
  </mc:AlternateContent>
  <xr:revisionPtr revIDLastSave="0" documentId="13_ncr:1_{11F048A8-B824-4FBC-BA9F-A82AC85B9384}" xr6:coauthVersionLast="47" xr6:coauthVersionMax="47" xr10:uidLastSave="{00000000-0000-0000-0000-000000000000}"/>
  <bookViews>
    <workbookView xWindow="-108" yWindow="-108" windowWidth="30936" windowHeight="16896" tabRatio="500" activeTab="1" xr2:uid="{00000000-000D-0000-FFFF-FFFF00000000}"/>
  </bookViews>
  <sheets>
    <sheet name="Basic Data" sheetId="1" r:id="rId1"/>
    <sheet name="Project Plan"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H37" i="2" l="1"/>
  <c r="H32" i="2"/>
  <c r="H28" i="2"/>
  <c r="H23" i="2"/>
  <c r="H18" i="2"/>
  <c r="H13" i="2"/>
  <c r="H10" i="2"/>
  <c r="I8" i="2"/>
  <c r="I9" i="2" s="1"/>
  <c r="C6" i="2"/>
  <c r="B2" i="2"/>
  <c r="I6" i="2" l="1"/>
  <c r="J8" i="2"/>
  <c r="I7" i="2"/>
  <c r="J9" i="2" l="1"/>
  <c r="K8" i="2"/>
  <c r="K9" i="2" l="1"/>
  <c r="L8" i="2"/>
  <c r="M8" i="2" l="1"/>
  <c r="L9" i="2"/>
  <c r="N8" i="2" l="1"/>
  <c r="M9" i="2"/>
  <c r="O8" i="2" l="1"/>
  <c r="N9" i="2"/>
  <c r="P8" i="2" l="1"/>
  <c r="O9" i="2"/>
  <c r="Q8" i="2" l="1"/>
  <c r="P7" i="2"/>
  <c r="P9" i="2"/>
  <c r="P6" i="2"/>
  <c r="R8" i="2" l="1"/>
  <c r="Q9" i="2"/>
  <c r="S8" i="2" l="1"/>
  <c r="R9" i="2"/>
  <c r="S9" i="2" l="1"/>
  <c r="T8" i="2"/>
  <c r="T9" i="2" l="1"/>
  <c r="U8" i="2"/>
  <c r="U9" i="2" l="1"/>
  <c r="V8" i="2"/>
  <c r="V9" i="2" l="1"/>
  <c r="W8" i="2"/>
  <c r="W9" i="2" l="1"/>
  <c r="W6" i="2"/>
  <c r="X8" i="2"/>
  <c r="W7" i="2"/>
  <c r="X9" i="2" l="1"/>
  <c r="Y8" i="2"/>
  <c r="Z8" i="2" l="1"/>
  <c r="Y9" i="2"/>
  <c r="AA8" i="2" l="1"/>
  <c r="Z9" i="2"/>
  <c r="AA9" i="2" l="1"/>
  <c r="AB8" i="2"/>
  <c r="AC8" i="2" l="1"/>
  <c r="AB9" i="2"/>
  <c r="AD8" i="2" l="1"/>
  <c r="AC9" i="2"/>
  <c r="AD6" i="2" l="1"/>
  <c r="AD7" i="2"/>
  <c r="AD9" i="2"/>
  <c r="AE8" i="2"/>
  <c r="AE9" i="2" l="1"/>
  <c r="AF8" i="2"/>
  <c r="AF9" i="2" l="1"/>
  <c r="AG8" i="2"/>
  <c r="AG9" i="2" l="1"/>
  <c r="AH8" i="2"/>
  <c r="AH9" i="2" l="1"/>
  <c r="AI8" i="2"/>
  <c r="AI9" i="2" l="1"/>
  <c r="AJ8" i="2"/>
  <c r="AK8" i="2" l="1"/>
  <c r="AJ9" i="2"/>
  <c r="AK6" i="2" l="1"/>
  <c r="AL8" i="2"/>
  <c r="AK7" i="2"/>
  <c r="AK9" i="2"/>
  <c r="AM8" i="2" l="1"/>
  <c r="AL9" i="2"/>
  <c r="AN8" i="2" l="1"/>
  <c r="AM9" i="2"/>
  <c r="AO8" i="2" l="1"/>
  <c r="AN9" i="2"/>
  <c r="AO9" i="2" l="1"/>
  <c r="AP8" i="2"/>
  <c r="AP9" i="2" l="1"/>
  <c r="AQ8" i="2"/>
  <c r="AQ9" i="2" l="1"/>
  <c r="AR8" i="2"/>
  <c r="AR6" i="2" l="1"/>
  <c r="AR7" i="2"/>
  <c r="AR9" i="2"/>
  <c r="AS8" i="2"/>
  <c r="AS9" i="2" l="1"/>
  <c r="AT8" i="2"/>
  <c r="AT9" i="2" l="1"/>
  <c r="AU8" i="2"/>
  <c r="AU9" i="2" l="1"/>
  <c r="AV8" i="2"/>
  <c r="AV9" i="2" l="1"/>
  <c r="AW8" i="2"/>
  <c r="AX8" i="2" l="1"/>
  <c r="AW9" i="2"/>
  <c r="AY8" i="2" l="1"/>
  <c r="AX9" i="2"/>
  <c r="AY6" i="2" l="1"/>
  <c r="AY7" i="2"/>
  <c r="AY9" i="2"/>
  <c r="AZ8" i="2"/>
  <c r="AZ9" i="2" l="1"/>
  <c r="BA8" i="2"/>
  <c r="BA9" i="2" l="1"/>
  <c r="BB8" i="2"/>
  <c r="BB9" i="2" l="1"/>
  <c r="BC8" i="2"/>
  <c r="BC9" i="2" l="1"/>
  <c r="BD8" i="2"/>
  <c r="BD9" i="2" l="1"/>
  <c r="BE8" i="2"/>
  <c r="BE9" i="2" l="1"/>
  <c r="BF8" i="2"/>
  <c r="BF7" i="2" l="1"/>
  <c r="BF9" i="2"/>
  <c r="BF6" i="2"/>
  <c r="BG8" i="2"/>
  <c r="BH8" i="2" l="1"/>
  <c r="BG9" i="2"/>
  <c r="BI8" i="2" l="1"/>
  <c r="BH9" i="2"/>
  <c r="BJ8" i="2" l="1"/>
  <c r="BI9" i="2"/>
  <c r="BK8" i="2" l="1"/>
  <c r="BJ9" i="2"/>
  <c r="BL8" i="2" l="1"/>
  <c r="BK9" i="2"/>
  <c r="BM8" i="2" l="1"/>
  <c r="BL9" i="2"/>
  <c r="BN8" i="2" l="1"/>
  <c r="BM7" i="2"/>
  <c r="BM9" i="2"/>
  <c r="BM6" i="2"/>
  <c r="BN9" i="2" l="1"/>
  <c r="BO8" i="2"/>
  <c r="BO9" i="2" l="1"/>
  <c r="BP8" i="2"/>
  <c r="BP9" i="2" l="1"/>
  <c r="BQ8" i="2"/>
  <c r="BQ9" i="2" l="1"/>
  <c r="BR8" i="2"/>
  <c r="BR9" i="2" l="1"/>
  <c r="BS8" i="2"/>
  <c r="BS9" i="2" l="1"/>
  <c r="BT8" i="2"/>
  <c r="BT9" i="2" l="1"/>
  <c r="BU8" i="2"/>
  <c r="BT7" i="2"/>
  <c r="BT6" i="2"/>
  <c r="BV8" i="2" l="1"/>
  <c r="BU9" i="2"/>
  <c r="BW8" i="2" l="1"/>
  <c r="BV9" i="2"/>
  <c r="BW9" i="2" l="1"/>
  <c r="BX8" i="2"/>
  <c r="BX9" i="2" l="1"/>
  <c r="BY8" i="2"/>
  <c r="BY9" i="2" l="1"/>
  <c r="BZ8" i="2"/>
  <c r="BZ9" i="2" l="1"/>
  <c r="CA8" i="2"/>
  <c r="CA9" i="2" l="1"/>
  <c r="CA6" i="2"/>
  <c r="CB8" i="2"/>
  <c r="CA7" i="2"/>
  <c r="CB9" i="2" l="1"/>
  <c r="CC8" i="2"/>
  <c r="CC9" i="2" l="1"/>
  <c r="CD8" i="2"/>
  <c r="CD9" i="2" l="1"/>
  <c r="CE8" i="2"/>
  <c r="CE9" i="2" l="1"/>
  <c r="CF8" i="2"/>
  <c r="CG8" i="2" l="1"/>
  <c r="CF9" i="2"/>
  <c r="CH8" i="2" l="1"/>
  <c r="CG9" i="2"/>
  <c r="CI8" i="2" l="1"/>
  <c r="CH7" i="2"/>
  <c r="CH9" i="2"/>
  <c r="CH6" i="2"/>
  <c r="CJ8" i="2" l="1"/>
  <c r="CI9" i="2"/>
  <c r="CK8" i="2" l="1"/>
  <c r="CJ9" i="2"/>
  <c r="CK9" i="2" l="1"/>
  <c r="CL8" i="2"/>
  <c r="CL9" i="2" l="1"/>
  <c r="CM8" i="2"/>
  <c r="CM9" i="2" l="1"/>
  <c r="CN8" i="2"/>
  <c r="CN9" i="2" l="1"/>
  <c r="CO8" i="2"/>
  <c r="CO9" i="2" l="1"/>
  <c r="CO6" i="2"/>
  <c r="CP8" i="2"/>
  <c r="CO7" i="2"/>
  <c r="CP9" i="2" l="1"/>
  <c r="CQ8" i="2"/>
  <c r="CQ9" i="2" l="1"/>
  <c r="CR8" i="2"/>
  <c r="CR9" i="2" l="1"/>
  <c r="CS8" i="2"/>
  <c r="CT8" i="2" l="1"/>
  <c r="CS9" i="2"/>
  <c r="CU8" i="2" l="1"/>
  <c r="CT9" i="2"/>
  <c r="CV8" i="2" l="1"/>
  <c r="CU9" i="2"/>
  <c r="CV6" i="2" l="1"/>
  <c r="CV7" i="2"/>
  <c r="CW8" i="2"/>
  <c r="CV9" i="2"/>
  <c r="CX8" i="2" l="1"/>
  <c r="CW9" i="2"/>
  <c r="CX9" i="2" l="1"/>
  <c r="CY8" i="2"/>
  <c r="CY9" i="2" l="1"/>
  <c r="CZ8" i="2"/>
  <c r="CZ9" i="2" l="1"/>
  <c r="DA8" i="2"/>
  <c r="DA9" i="2" l="1"/>
  <c r="DB8" i="2"/>
  <c r="DB9" i="2" l="1"/>
  <c r="DC8" i="2"/>
  <c r="DC6" i="2" l="1"/>
  <c r="DC7" i="2"/>
  <c r="DD8" i="2"/>
  <c r="DC9" i="2"/>
  <c r="DE8" i="2" l="1"/>
  <c r="DD9" i="2"/>
  <c r="DF8" i="2" l="1"/>
  <c r="DE9" i="2"/>
  <c r="DG8" i="2" l="1"/>
  <c r="DF9" i="2"/>
  <c r="DH8" i="2" l="1"/>
  <c r="DG9" i="2"/>
  <c r="DI8" i="2" l="1"/>
  <c r="DH9" i="2"/>
  <c r="DJ8" i="2" l="1"/>
  <c r="DI9" i="2"/>
  <c r="DJ6" i="2" l="1"/>
  <c r="DJ7" i="2"/>
  <c r="DJ9" i="2"/>
  <c r="DK8" i="2"/>
  <c r="DK9" i="2" l="1"/>
  <c r="DL8" i="2"/>
  <c r="DL9" i="2" l="1"/>
  <c r="DM8" i="2"/>
  <c r="DM9" i="2" l="1"/>
  <c r="DN8" i="2"/>
  <c r="DN9" i="2" l="1"/>
  <c r="DO8" i="2"/>
  <c r="DO9" i="2" l="1"/>
  <c r="DP8" i="2"/>
  <c r="DP9" i="2" l="1"/>
  <c r="DQ8" i="2"/>
  <c r="DQ6" i="2" l="1"/>
  <c r="DR8" i="2"/>
  <c r="DQ7" i="2"/>
  <c r="DQ9" i="2"/>
  <c r="DS8" i="2" l="1"/>
  <c r="DR9" i="2"/>
  <c r="DS9" i="2" l="1"/>
  <c r="DT8" i="2"/>
  <c r="DT9" i="2" l="1"/>
  <c r="DU8" i="2"/>
  <c r="DU9" i="2" l="1"/>
  <c r="DV8" i="2"/>
  <c r="DV9" i="2" l="1"/>
  <c r="DW8" i="2"/>
  <c r="DW9" i="2" l="1"/>
  <c r="DX8" i="2"/>
  <c r="DX7" i="2" l="1"/>
  <c r="DX9" i="2"/>
  <c r="DY8" i="2"/>
  <c r="DX6" i="2"/>
  <c r="DY9" i="2" l="1"/>
  <c r="DZ8" i="2"/>
  <c r="DZ9" i="2" l="1"/>
  <c r="EA8" i="2"/>
  <c r="EB8" i="2" l="1"/>
  <c r="EA9" i="2"/>
  <c r="EC8" i="2" l="1"/>
  <c r="EB9" i="2"/>
  <c r="ED8" i="2" l="1"/>
  <c r="EC9" i="2"/>
  <c r="EE8" i="2" l="1"/>
  <c r="ED9" i="2"/>
  <c r="EF8" i="2" l="1"/>
  <c r="EE7" i="2"/>
  <c r="EE9" i="2"/>
  <c r="EE6" i="2"/>
  <c r="EG8" i="2" l="1"/>
  <c r="EF9" i="2"/>
  <c r="EH8" i="2" l="1"/>
  <c r="EG9" i="2"/>
  <c r="EH9" i="2" l="1"/>
  <c r="EI8" i="2"/>
  <c r="EI9" i="2" l="1"/>
  <c r="EJ8" i="2"/>
  <c r="EJ9" i="2" l="1"/>
  <c r="EK8" i="2"/>
  <c r="EK9" i="2" l="1"/>
  <c r="EL8" i="2"/>
  <c r="EL9" i="2" l="1"/>
  <c r="EM8" i="2"/>
  <c r="EL6" i="2"/>
  <c r="EL7" i="2"/>
  <c r="EM9" i="2" l="1"/>
  <c r="EN8" i="2"/>
  <c r="EN9" i="2" l="1"/>
  <c r="EO8" i="2"/>
  <c r="EP8" i="2" l="1"/>
  <c r="EO9" i="2"/>
  <c r="EQ8" i="2" l="1"/>
  <c r="EP9" i="2"/>
  <c r="ER8" i="2" l="1"/>
  <c r="EQ9" i="2"/>
  <c r="ES8" i="2" l="1"/>
  <c r="ER9" i="2"/>
  <c r="ES6" i="2" l="1"/>
  <c r="ET8" i="2"/>
  <c r="ES9" i="2"/>
  <c r="ES7" i="2"/>
  <c r="ET9" i="2" l="1"/>
  <c r="EU8" i="2"/>
  <c r="EU9" i="2" l="1"/>
  <c r="EV8" i="2"/>
  <c r="EV9" i="2" l="1"/>
  <c r="EW8" i="2"/>
  <c r="EW9" i="2" l="1"/>
  <c r="EX8" i="2"/>
  <c r="EX9" i="2" l="1"/>
  <c r="EY8" i="2"/>
  <c r="EY9" i="2" l="1"/>
  <c r="EZ8" i="2"/>
  <c r="FA8" i="2" l="1"/>
  <c r="EZ9" i="2"/>
  <c r="EZ7" i="2"/>
  <c r="EZ6" i="2"/>
  <c r="FB8" i="2" l="1"/>
  <c r="FA9" i="2"/>
  <c r="FC8" i="2" l="1"/>
  <c r="FB9" i="2"/>
  <c r="FD8" i="2" l="1"/>
  <c r="FC9" i="2"/>
  <c r="FE8" i="2" l="1"/>
  <c r="FD9" i="2"/>
  <c r="FE9" i="2" l="1"/>
  <c r="FF8" i="2"/>
  <c r="FF9" i="2" l="1"/>
  <c r="FG8" i="2"/>
  <c r="FG9" i="2" l="1"/>
  <c r="FG6" i="2"/>
  <c r="FH8" i="2"/>
  <c r="FG7" i="2"/>
  <c r="FH9" i="2" l="1"/>
  <c r="FI8" i="2"/>
  <c r="FI9" i="2" l="1"/>
  <c r="FJ8" i="2"/>
  <c r="FJ9" i="2" l="1"/>
  <c r="FK8" i="2"/>
  <c r="FK9" i="2" l="1"/>
  <c r="FL8" i="2"/>
  <c r="FL9" i="2" l="1"/>
  <c r="FM8" i="2"/>
  <c r="FM9" i="2" s="1"/>
</calcChain>
</file>

<file path=xl/sharedStrings.xml><?xml version="1.0" encoding="utf-8"?>
<sst xmlns="http://schemas.openxmlformats.org/spreadsheetml/2006/main" count="144" uniqueCount="108">
  <si>
    <t xml:space="preserve">                    Planification projet (Diagramme de Gantt)</t>
  </si>
  <si>
    <t>Basisinformationen</t>
  </si>
  <si>
    <t>Equipe du projet</t>
  </si>
  <si>
    <t>Nom du projet</t>
  </si>
  <si>
    <t>SAE 2-06 : Analyse de données, Reporting et Datavisualisation</t>
  </si>
  <si>
    <t>Nom</t>
  </si>
  <si>
    <t>Email</t>
  </si>
  <si>
    <t>Numéro de téléphone</t>
  </si>
  <si>
    <t>Nom du manager</t>
  </si>
  <si>
    <t>Belkouch</t>
  </si>
  <si>
    <t>Adam</t>
  </si>
  <si>
    <t>Date de lancement</t>
  </si>
  <si>
    <t>Yasmine</t>
  </si>
  <si>
    <t>Adam, Yasmine</t>
  </si>
  <si>
    <t>Affichage de la semaine de lancement</t>
  </si>
  <si>
    <t>Manager</t>
  </si>
  <si>
    <t>Date de début</t>
  </si>
  <si>
    <t xml:space="preserve">Semaine numéro : </t>
  </si>
  <si>
    <t>Date d'aujourd'hui</t>
  </si>
  <si>
    <t>Date de fin prévue</t>
  </si>
  <si>
    <t>00/06/2025</t>
  </si>
  <si>
    <t>Element PSP</t>
  </si>
  <si>
    <t>Tâche / Paquet de travail</t>
  </si>
  <si>
    <t>Editeur</t>
  </si>
  <si>
    <t>Commentaires</t>
  </si>
  <si>
    <t>Début</t>
  </si>
  <si>
    <t>Durée (minute)</t>
  </si>
  <si>
    <t>Deadline</t>
  </si>
  <si>
    <t>Progression</t>
  </si>
  <si>
    <t>1</t>
  </si>
  <si>
    <t>Découverte des base de données cinematographiques</t>
  </si>
  <si>
    <t>1.1</t>
  </si>
  <si>
    <t xml:space="preserve">Découverte des données </t>
  </si>
  <si>
    <t xml:space="preserve">Decouverte du sujet et données </t>
  </si>
  <si>
    <t>1.2</t>
  </si>
  <si>
    <t>Compréhension des données</t>
  </si>
  <si>
    <t>Analyse et comprehension</t>
  </si>
  <si>
    <t>Travail 1</t>
  </si>
  <si>
    <t>2.1</t>
  </si>
  <si>
    <t xml:space="preserve">Cahier des charges </t>
  </si>
  <si>
    <t xml:space="preserve">Analyse du sujet, Traitement des informations, Redaction du plan, Trier les informations selon le plan, Mise au propre </t>
  </si>
  <si>
    <t>2.2</t>
  </si>
  <si>
    <t xml:space="preserve">Dictionnaire des données </t>
  </si>
  <si>
    <t>Traitement des données, Analyse</t>
  </si>
  <si>
    <t>2.3</t>
  </si>
  <si>
    <t>DescriptionDonnees</t>
  </si>
  <si>
    <t>2.4</t>
  </si>
  <si>
    <t xml:space="preserve">Rédaction des spécifications </t>
  </si>
  <si>
    <t>Creation du fichier Excel des spécification</t>
  </si>
  <si>
    <t>3.1</t>
  </si>
  <si>
    <t>Trouver des données de 2022 à 2024</t>
  </si>
  <si>
    <t xml:space="preserve">Analyse de données sur les sites, statista et cnc </t>
  </si>
  <si>
    <t>3.2</t>
  </si>
  <si>
    <t>Jeu de données « Basilic » A quoi peut-il servir pour enrichir les données ? et comment ?</t>
  </si>
  <si>
    <t>Analyse du jeux de données basilic, pertinant</t>
  </si>
  <si>
    <t>3.3</t>
  </si>
  <si>
    <t xml:space="preserve">Ajustement du dictionnaire des données </t>
  </si>
  <si>
    <t>3.4</t>
  </si>
  <si>
    <t>Création du programme phyton pour automatiser l’arborescence</t>
  </si>
  <si>
    <t>Travail 2</t>
  </si>
  <si>
    <t>4.1</t>
  </si>
  <si>
    <t>CHARGEMENT DES DONNEES</t>
  </si>
  <si>
    <t>Creation du codes :Charger_donnees</t>
  </si>
  <si>
    <t>4.2</t>
  </si>
  <si>
    <t>VISUALISATION DES DONNEES</t>
  </si>
  <si>
    <t xml:space="preserve">Creation du codes : Apercu_donnees </t>
  </si>
  <si>
    <t>4.3</t>
  </si>
  <si>
    <t>Correction des fonctions charger_donnees</t>
  </si>
  <si>
    <t xml:space="preserve">Modification, ajustement sans l’utilisation de pandas </t>
  </si>
  <si>
    <t>4.4</t>
  </si>
  <si>
    <t>Modification, ajustement des fonctions + specification faite par Yasmine</t>
  </si>
  <si>
    <t>Travail 3</t>
  </si>
  <si>
    <t>5.1</t>
  </si>
  <si>
    <t xml:space="preserve">Besoins fonctionnels préparation de données </t>
  </si>
  <si>
    <t>Creation du codes :renommer_variable, selectionne_variable, filtre</t>
  </si>
  <si>
    <t>5.2</t>
  </si>
  <si>
    <t>Besoins fonctionnels préparation de détection des anomalies</t>
  </si>
  <si>
    <t>Creation du codes :valeur_manquante, mediane, remplacer_val_manquante</t>
  </si>
  <si>
    <t>5.3</t>
  </si>
  <si>
    <t>RESUME DES DONNEES</t>
  </si>
  <si>
    <t>Creation du codes : describe + specification faite par Yasmine</t>
  </si>
  <si>
    <t>Travail 4</t>
  </si>
  <si>
    <t>6.1</t>
  </si>
  <si>
    <t>PRODUCTIONS FICHIERS (DONNEES OU STATISTIQUES)</t>
  </si>
  <si>
    <t>Creation du codes : exporter</t>
  </si>
  <si>
    <t>6.2</t>
  </si>
  <si>
    <t xml:space="preserve">Preparation des données </t>
  </si>
  <si>
    <t xml:space="preserve">Données netoyer a l'aide des fonction </t>
  </si>
  <si>
    <t>6.3</t>
  </si>
  <si>
    <t>CALCUL D’INDICATEURS ET STATISTIQUES :</t>
  </si>
  <si>
    <t>Creation du codes : Amelioration du code describe</t>
  </si>
  <si>
    <t>6.4</t>
  </si>
  <si>
    <t xml:space="preserve"> AGREGATION DES DONNEES</t>
  </si>
  <si>
    <t>Creation du codes : tableau evolution par année + specification faite par Yasmine</t>
  </si>
  <si>
    <t>Travail 5</t>
  </si>
  <si>
    <t>PARTIE 2 Utilisation des modules Python pour l’analyse et la visualisation.</t>
  </si>
  <si>
    <t>Creation du codes : chargementdonnees, filtre, afficher, tableau_somme_par_departement, evolution_par_annee, exporter_csv. Creation de graphique avec pandas</t>
  </si>
  <si>
    <t xml:space="preserve">Rapport rediger sur R avec quarto </t>
  </si>
  <si>
    <t xml:space="preserve">données propres a l'aide des fonction </t>
  </si>
  <si>
    <t>Datavizualisation sur Power BI</t>
  </si>
  <si>
    <t xml:space="preserve">Creation d'un dashbord interactif sur toute les données </t>
  </si>
  <si>
    <t>Finalisation du projet</t>
  </si>
  <si>
    <t>6.5</t>
  </si>
  <si>
    <t xml:space="preserve">Modification des fonctions créant des tableaux statistiques à plusieurs variables </t>
  </si>
  <si>
    <t xml:space="preserve">Nous avons ajusté certains tableaux pour faciliter la lecture. </t>
  </si>
  <si>
    <t xml:space="preserve">Finalisation du rapport HTML, avec commentaires et analyse statistique approfondie. </t>
  </si>
  <si>
    <t>Finalisation du projet (partie python)</t>
  </si>
  <si>
    <t xml:space="preserve">≈ 43 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</si>
</sst>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
    <numFmt numFmtId="165" formatCode="dd/mm/yy;@"/>
    <numFmt numFmtId="166" formatCode="d"/>
    <numFmt numFmtId="167" formatCode="0.0"/>
  </numFmts>
  <fonts count="19" x14ac:knownFonts="1">
    <font>
      <sz val="12"/>
      <color theme="1"/>
      <name val="Calibri"/>
      <family val="2"/>
      <charset val="1"/>
    </font>
    <font>
      <b/>
      <sz val="36"/>
      <color rgb="FF244D80"/>
      <name val="Calibri"/>
      <family val="2"/>
      <charset val="1"/>
    </font>
    <font>
      <sz val="12"/>
      <color theme="1"/>
      <name val="Arial"/>
      <family val="2"/>
      <charset val="1"/>
    </font>
    <font>
      <sz val="14"/>
      <color theme="0"/>
      <name val="Arial"/>
      <family val="2"/>
      <charset val="1"/>
    </font>
    <font>
      <sz val="14"/>
      <color rgb="FF244D80"/>
      <name val="Arial"/>
      <family val="2"/>
      <charset val="1"/>
    </font>
    <font>
      <u/>
      <sz val="12"/>
      <color theme="10"/>
      <name val="Calibri"/>
      <family val="2"/>
      <charset val="1"/>
    </font>
    <font>
      <u/>
      <sz val="12"/>
      <color theme="10"/>
      <name val="Arial"/>
      <family val="2"/>
      <charset val="1"/>
    </font>
    <font>
      <b/>
      <sz val="14"/>
      <color rgb="FF244D80"/>
      <name val="Arial"/>
      <family val="2"/>
      <charset val="1"/>
    </font>
    <font>
      <sz val="12"/>
      <color rgb="FF244D80"/>
      <name val="Arial"/>
      <family val="2"/>
      <charset val="1"/>
    </font>
    <font>
      <sz val="12"/>
      <color theme="0"/>
      <name val="Arial"/>
      <family val="2"/>
      <charset val="1"/>
    </font>
    <font>
      <sz val="9"/>
      <color rgb="FF244D80"/>
      <name val="Arial"/>
      <family val="2"/>
      <charset val="1"/>
    </font>
    <font>
      <b/>
      <sz val="12"/>
      <color rgb="FF244D80"/>
      <name val="Arial"/>
      <family val="2"/>
      <charset val="1"/>
    </font>
    <font>
      <sz val="12"/>
      <name val="Arial"/>
      <family val="2"/>
      <charset val="1"/>
    </font>
    <font>
      <sz val="11"/>
      <name val="Calibri"/>
      <family val="2"/>
      <charset val="1"/>
    </font>
    <font>
      <sz val="10"/>
      <color theme="1"/>
      <name val="Courier New"/>
      <family val="3"/>
      <charset val="1"/>
    </font>
    <font>
      <sz val="12"/>
      <color theme="1"/>
      <name val="Calibri"/>
      <family val="1"/>
      <charset val="1"/>
    </font>
    <font>
      <sz val="10"/>
      <color theme="1"/>
      <name val="Calibri"/>
      <family val="1"/>
      <charset val="1"/>
    </font>
    <font>
      <sz val="12"/>
      <color theme="1"/>
      <name val="Calibri"/>
      <family val="2"/>
      <charset val="1"/>
    </font>
    <font>
      <b/>
      <sz val="18"/>
      <color theme="1"/>
      <name val="Calibri"/>
      <family val="2"/>
    </font>
  </fonts>
  <fills count="6">
    <fill>
      <patternFill patternType="none"/>
    </fill>
    <fill>
      <patternFill patternType="gray125"/>
    </fill>
    <fill>
      <patternFill patternType="solid">
        <fgColor theme="0"/>
        <bgColor rgb="FFFFFFCC"/>
      </patternFill>
    </fill>
    <fill>
      <patternFill patternType="solid">
        <fgColor rgb="FF244D80"/>
        <bgColor rgb="FF363A40"/>
      </patternFill>
    </fill>
    <fill>
      <patternFill patternType="solid">
        <fgColor rgb="FF363A40"/>
        <bgColor rgb="FF333300"/>
      </patternFill>
    </fill>
    <fill>
      <patternFill patternType="solid">
        <fgColor theme="0" tint="-0.14999847407452621"/>
        <bgColor rgb="FFC0C0C0"/>
      </patternFill>
    </fill>
  </fills>
  <borders count="16">
    <border>
      <left/>
      <right/>
      <top/>
      <bottom/>
      <diagonal/>
    </border>
    <border>
      <left style="medium">
        <color rgb="FF244D80"/>
      </left>
      <right style="medium">
        <color rgb="FF244D80"/>
      </right>
      <top style="medium">
        <color rgb="FF244D80"/>
      </top>
      <bottom style="medium">
        <color rgb="FF244D80"/>
      </bottom>
      <diagonal/>
    </border>
    <border>
      <left style="medium">
        <color theme="1"/>
      </left>
      <right style="thin">
        <color theme="1"/>
      </right>
      <top style="thin">
        <color theme="1"/>
      </top>
      <bottom style="thin">
        <color theme="1"/>
      </bottom>
      <diagonal/>
    </border>
    <border>
      <left style="medium">
        <color theme="1"/>
      </left>
      <right style="medium">
        <color theme="1"/>
      </right>
      <top style="medium">
        <color theme="1"/>
      </top>
      <bottom style="medium">
        <color theme="1"/>
      </bottom>
      <diagonal/>
    </border>
    <border>
      <left style="thin">
        <color theme="1"/>
      </left>
      <right/>
      <top/>
      <bottom/>
      <diagonal/>
    </border>
    <border>
      <left style="thin">
        <color theme="1"/>
      </left>
      <right style="thin">
        <color theme="1"/>
      </right>
      <top style="thin">
        <color theme="1"/>
      </top>
      <bottom style="thin">
        <color theme="1"/>
      </bottom>
      <diagonal/>
    </border>
    <border>
      <left/>
      <right style="medium">
        <color theme="1"/>
      </right>
      <top/>
      <bottom/>
      <diagonal/>
    </border>
    <border>
      <left/>
      <right style="thin">
        <color theme="1"/>
      </right>
      <top/>
      <bottom/>
      <diagonal/>
    </border>
    <border>
      <left style="thin">
        <color theme="1"/>
      </left>
      <right style="thin">
        <color theme="1"/>
      </right>
      <top/>
      <bottom/>
      <diagonal/>
    </border>
    <border>
      <left style="medium">
        <color theme="1"/>
      </left>
      <right/>
      <top style="thin">
        <color theme="1"/>
      </top>
      <bottom style="thin">
        <color theme="1"/>
      </bottom>
      <diagonal/>
    </border>
    <border>
      <left/>
      <right/>
      <top style="thin">
        <color theme="1"/>
      </top>
      <bottom style="thin">
        <color theme="1"/>
      </bottom>
      <diagonal/>
    </border>
    <border>
      <left style="medium">
        <color theme="1"/>
      </left>
      <right/>
      <top style="medium">
        <color theme="1"/>
      </top>
      <bottom style="medium">
        <color theme="1"/>
      </bottom>
      <diagonal/>
    </border>
    <border>
      <left/>
      <right style="medium">
        <color theme="1"/>
      </right>
      <top style="medium">
        <color theme="1"/>
      </top>
      <bottom/>
      <diagonal/>
    </border>
    <border>
      <left style="medium">
        <color theme="1"/>
      </left>
      <right style="medium">
        <color theme="1"/>
      </right>
      <top style="medium">
        <color theme="1"/>
      </top>
      <bottom/>
      <diagonal/>
    </border>
    <border>
      <left/>
      <right/>
      <top style="medium">
        <color auto="1"/>
      </top>
      <bottom style="medium">
        <color auto="1"/>
      </bottom>
      <diagonal/>
    </border>
    <border>
      <left style="medium">
        <color auto="1"/>
      </left>
      <right style="medium">
        <color auto="1"/>
      </right>
      <top/>
      <bottom style="medium">
        <color auto="1"/>
      </bottom>
      <diagonal/>
    </border>
  </borders>
  <cellStyleXfs count="3">
    <xf numFmtId="0" fontId="0" fillId="0" borderId="0"/>
    <xf numFmtId="164" fontId="17" fillId="0" borderId="0" applyBorder="0" applyProtection="0"/>
    <xf numFmtId="0" fontId="5" fillId="0" borderId="0" applyBorder="0" applyProtection="0"/>
  </cellStyleXfs>
  <cellXfs count="73">
    <xf numFmtId="0" fontId="0" fillId="0" borderId="0" xfId="0"/>
    <xf numFmtId="14" fontId="2" fillId="0" borderId="8" xfId="0" applyNumberFormat="1" applyFont="1" applyBorder="1" applyAlignment="1" applyProtection="1">
      <alignment horizontal="center"/>
    </xf>
    <xf numFmtId="14" fontId="2" fillId="0" borderId="7" xfId="0" applyNumberFormat="1" applyFont="1" applyBorder="1" applyAlignment="1" applyProtection="1">
      <alignment horizontal="center"/>
    </xf>
    <xf numFmtId="0" fontId="2" fillId="0" borderId="4" xfId="0" applyFont="1" applyBorder="1" applyAlignment="1" applyProtection="1">
      <alignment horizontal="center"/>
    </xf>
    <xf numFmtId="0" fontId="2" fillId="0" borderId="0" xfId="0" applyFont="1" applyBorder="1" applyAlignment="1" applyProtection="1">
      <alignment horizontal="center"/>
    </xf>
    <xf numFmtId="0" fontId="1" fillId="0" borderId="0" xfId="0" applyFont="1" applyBorder="1" applyAlignment="1" applyProtection="1">
      <alignment horizontal="center" vertical="center"/>
    </xf>
    <xf numFmtId="0" fontId="0" fillId="0" borderId="0" xfId="0" applyAlignment="1" applyProtection="1"/>
    <xf numFmtId="0" fontId="0" fillId="2" borderId="0" xfId="0" applyFill="1" applyAlignment="1" applyProtection="1"/>
    <xf numFmtId="0" fontId="2" fillId="2" borderId="0" xfId="0" applyFont="1" applyFill="1" applyAlignment="1" applyProtection="1"/>
    <xf numFmtId="0" fontId="3" fillId="2" borderId="0" xfId="0" applyFont="1" applyFill="1" applyAlignment="1" applyProtection="1"/>
    <xf numFmtId="0" fontId="3" fillId="3" borderId="0" xfId="0" applyFont="1" applyFill="1" applyAlignment="1" applyProtection="1"/>
    <xf numFmtId="0" fontId="4" fillId="2" borderId="0" xfId="0" applyFont="1" applyFill="1" applyAlignment="1" applyProtection="1"/>
    <xf numFmtId="0" fontId="2" fillId="2" borderId="1" xfId="0" applyFont="1" applyFill="1" applyBorder="1" applyAlignment="1" applyProtection="1">
      <alignment horizontal="right" wrapText="1"/>
    </xf>
    <xf numFmtId="0" fontId="3" fillId="4" borderId="0" xfId="0" applyFont="1" applyFill="1" applyAlignment="1" applyProtection="1"/>
    <xf numFmtId="0" fontId="2" fillId="2" borderId="2" xfId="0" applyFont="1" applyFill="1" applyBorder="1" applyAlignment="1" applyProtection="1">
      <alignment horizontal="right"/>
    </xf>
    <xf numFmtId="0" fontId="2" fillId="0" borderId="0" xfId="0" applyFont="1" applyAlignment="1" applyProtection="1"/>
    <xf numFmtId="0" fontId="6" fillId="0" borderId="0" xfId="2" applyFont="1" applyBorder="1" applyAlignment="1" applyProtection="1"/>
    <xf numFmtId="14" fontId="2" fillId="0" borderId="3" xfId="0" applyNumberFormat="1" applyFont="1" applyBorder="1" applyAlignment="1" applyProtection="1">
      <protection locked="0"/>
    </xf>
    <xf numFmtId="0" fontId="2" fillId="2" borderId="0" xfId="0" applyFont="1" applyFill="1" applyAlignment="1" applyProtection="1">
      <protection locked="0"/>
    </xf>
    <xf numFmtId="0" fontId="2" fillId="0" borderId="4" xfId="0" applyFont="1" applyBorder="1" applyAlignment="1" applyProtection="1"/>
    <xf numFmtId="0" fontId="7" fillId="2" borderId="0" xfId="0" applyFont="1" applyFill="1" applyAlignment="1" applyProtection="1">
      <protection locked="0"/>
    </xf>
    <xf numFmtId="164" fontId="2" fillId="2" borderId="0" xfId="1" applyFont="1" applyFill="1" applyBorder="1" applyAlignment="1" applyProtection="1"/>
    <xf numFmtId="0" fontId="4" fillId="2" borderId="0" xfId="0" applyFont="1" applyFill="1" applyAlignment="1" applyProtection="1">
      <protection locked="0"/>
    </xf>
    <xf numFmtId="0" fontId="8" fillId="2" borderId="0" xfId="0" applyFont="1" applyFill="1" applyAlignment="1" applyProtection="1">
      <protection locked="0"/>
    </xf>
    <xf numFmtId="0" fontId="2" fillId="2" borderId="0" xfId="0" applyFont="1" applyFill="1" applyAlignment="1" applyProtection="1">
      <alignment horizontal="right"/>
    </xf>
    <xf numFmtId="0" fontId="2" fillId="0" borderId="0" xfId="0" applyFont="1" applyAlignment="1" applyProtection="1">
      <protection locked="0"/>
    </xf>
    <xf numFmtId="165" fontId="2" fillId="2" borderId="0" xfId="0" applyNumberFormat="1" applyFont="1" applyFill="1" applyAlignment="1" applyProtection="1"/>
    <xf numFmtId="0" fontId="3" fillId="4" borderId="5" xfId="0" applyFont="1" applyFill="1" applyBorder="1" applyAlignment="1" applyProtection="1">
      <protection locked="0"/>
    </xf>
    <xf numFmtId="14" fontId="2" fillId="2" borderId="2" xfId="0" applyNumberFormat="1" applyFont="1" applyFill="1" applyBorder="1" applyAlignment="1" applyProtection="1"/>
    <xf numFmtId="14" fontId="2" fillId="2" borderId="0" xfId="0" applyNumberFormat="1" applyFont="1" applyFill="1" applyAlignment="1" applyProtection="1"/>
    <xf numFmtId="0" fontId="2" fillId="2" borderId="6" xfId="0" applyFont="1" applyFill="1" applyBorder="1" applyAlignment="1" applyProtection="1">
      <protection locked="0"/>
    </xf>
    <xf numFmtId="14" fontId="9" fillId="4" borderId="2" xfId="0" applyNumberFormat="1" applyFont="1" applyFill="1" applyBorder="1" applyAlignment="1" applyProtection="1"/>
    <xf numFmtId="14" fontId="9" fillId="4" borderId="0" xfId="0" applyNumberFormat="1" applyFont="1" applyFill="1" applyAlignment="1" applyProtection="1"/>
    <xf numFmtId="0" fontId="8" fillId="2" borderId="0" xfId="0" applyFont="1" applyFill="1" applyAlignment="1" applyProtection="1"/>
    <xf numFmtId="166" fontId="10" fillId="0" borderId="0" xfId="0" applyNumberFormat="1" applyFont="1" applyAlignment="1" applyProtection="1">
      <alignment horizontal="center"/>
    </xf>
    <xf numFmtId="166" fontId="10" fillId="0" borderId="4" xfId="0" applyNumberFormat="1" applyFont="1" applyBorder="1" applyAlignment="1" applyProtection="1">
      <alignment horizontal="center"/>
    </xf>
    <xf numFmtId="0" fontId="11" fillId="2" borderId="0" xfId="0" applyFont="1" applyFill="1" applyAlignment="1" applyProtection="1">
      <alignment horizontal="center"/>
      <protection locked="0"/>
    </xf>
    <xf numFmtId="0" fontId="11" fillId="2" borderId="0" xfId="0" applyFont="1" applyFill="1" applyAlignment="1" applyProtection="1">
      <alignment horizontal="center"/>
    </xf>
    <xf numFmtId="0" fontId="11" fillId="2" borderId="6" xfId="0" applyFont="1" applyFill="1" applyBorder="1" applyAlignment="1" applyProtection="1">
      <alignment horizontal="center"/>
      <protection locked="0"/>
    </xf>
    <xf numFmtId="0" fontId="10" fillId="0" borderId="4" xfId="0" applyFont="1" applyBorder="1" applyAlignment="1" applyProtection="1">
      <alignment horizontal="center"/>
    </xf>
    <xf numFmtId="0" fontId="11" fillId="5" borderId="0" xfId="0" applyFont="1" applyFill="1" applyAlignment="1" applyProtection="1">
      <protection locked="0"/>
    </xf>
    <xf numFmtId="0" fontId="11" fillId="5" borderId="0" xfId="0" applyFont="1" applyFill="1" applyAlignment="1" applyProtection="1">
      <alignment horizontal="center" wrapText="1"/>
      <protection locked="0"/>
    </xf>
    <xf numFmtId="0" fontId="11" fillId="5" borderId="0" xfId="0" applyFont="1" applyFill="1" applyAlignment="1" applyProtection="1">
      <alignment horizontal="center"/>
      <protection locked="0"/>
    </xf>
    <xf numFmtId="14" fontId="11" fillId="5" borderId="0" xfId="0" applyNumberFormat="1" applyFont="1" applyFill="1" applyAlignment="1" applyProtection="1">
      <protection locked="0"/>
    </xf>
    <xf numFmtId="165" fontId="11" fillId="5" borderId="0" xfId="0" applyNumberFormat="1" applyFont="1" applyFill="1" applyAlignment="1" applyProtection="1"/>
    <xf numFmtId="164" fontId="8" fillId="5" borderId="6" xfId="0" applyNumberFormat="1" applyFont="1" applyFill="1" applyBorder="1" applyAlignment="1" applyProtection="1">
      <protection locked="0"/>
    </xf>
    <xf numFmtId="0" fontId="12" fillId="2" borderId="9" xfId="0" applyFont="1" applyFill="1" applyBorder="1" applyAlignment="1" applyProtection="1"/>
    <xf numFmtId="0" fontId="12" fillId="2" borderId="10" xfId="0" applyFont="1" applyFill="1" applyBorder="1" applyAlignment="1" applyProtection="1"/>
    <xf numFmtId="0" fontId="2" fillId="5" borderId="0" xfId="0" applyFont="1" applyFill="1" applyAlignment="1" applyProtection="1"/>
    <xf numFmtId="49" fontId="2" fillId="0" borderId="3" xfId="0" applyNumberFormat="1" applyFont="1" applyBorder="1" applyAlignment="1" applyProtection="1">
      <protection locked="0"/>
    </xf>
    <xf numFmtId="0" fontId="2" fillId="0" borderId="3" xfId="0" applyFont="1" applyBorder="1" applyAlignment="1" applyProtection="1">
      <alignment wrapText="1"/>
      <protection locked="0"/>
    </xf>
    <xf numFmtId="0" fontId="2" fillId="0" borderId="3" xfId="0" applyFont="1" applyBorder="1" applyAlignment="1" applyProtection="1">
      <protection locked="0"/>
    </xf>
    <xf numFmtId="165" fontId="2" fillId="0" borderId="3" xfId="0" applyNumberFormat="1" applyFont="1" applyBorder="1" applyAlignment="1" applyProtection="1"/>
    <xf numFmtId="164" fontId="2" fillId="0" borderId="3" xfId="0" applyNumberFormat="1" applyFont="1" applyBorder="1" applyAlignment="1" applyProtection="1">
      <protection locked="0"/>
    </xf>
    <xf numFmtId="0" fontId="11" fillId="5" borderId="0" xfId="0" applyFont="1" applyFill="1" applyAlignment="1" applyProtection="1">
      <alignment horizontal="left"/>
      <protection locked="0"/>
    </xf>
    <xf numFmtId="167" fontId="2" fillId="0" borderId="11" xfId="0" applyNumberFormat="1" applyFont="1" applyBorder="1" applyAlignment="1" applyProtection="1">
      <protection locked="0"/>
    </xf>
    <xf numFmtId="0" fontId="2" fillId="0" borderId="12" xfId="0" applyFont="1" applyBorder="1" applyAlignment="1" applyProtection="1">
      <protection locked="0"/>
    </xf>
    <xf numFmtId="0" fontId="2" fillId="0" borderId="13" xfId="0" applyFont="1" applyBorder="1" applyAlignment="1" applyProtection="1">
      <protection locked="0"/>
    </xf>
    <xf numFmtId="165" fontId="2" fillId="0" borderId="13" xfId="0" applyNumberFormat="1" applyFont="1" applyBorder="1" applyAlignment="1" applyProtection="1"/>
    <xf numFmtId="164" fontId="2" fillId="0" borderId="13" xfId="0" applyNumberFormat="1" applyFont="1" applyBorder="1" applyAlignment="1" applyProtection="1">
      <protection locked="0"/>
    </xf>
    <xf numFmtId="0" fontId="2" fillId="2" borderId="13" xfId="0" applyFont="1" applyFill="1" applyBorder="1" applyAlignment="1" applyProtection="1">
      <protection locked="0"/>
    </xf>
    <xf numFmtId="0" fontId="2" fillId="0" borderId="11" xfId="0" applyFont="1" applyBorder="1" applyAlignment="1" applyProtection="1">
      <protection locked="0"/>
    </xf>
    <xf numFmtId="0" fontId="2" fillId="2" borderId="5" xfId="0" applyFont="1" applyFill="1" applyBorder="1" applyAlignment="1" applyProtection="1">
      <protection locked="0"/>
    </xf>
    <xf numFmtId="0" fontId="2" fillId="0" borderId="14" xfId="0" applyFont="1" applyBorder="1" applyAlignment="1" applyProtection="1">
      <protection locked="0"/>
    </xf>
    <xf numFmtId="0" fontId="2" fillId="2" borderId="15" xfId="0" applyFont="1" applyFill="1" applyBorder="1" applyAlignment="1" applyProtection="1">
      <protection locked="0"/>
    </xf>
    <xf numFmtId="0" fontId="13" fillId="0" borderId="3" xfId="0" applyFont="1" applyBorder="1" applyAlignment="1" applyProtection="1">
      <alignment wrapText="1"/>
    </xf>
    <xf numFmtId="0" fontId="13" fillId="0" borderId="3" xfId="0" applyFont="1" applyBorder="1" applyAlignment="1" applyProtection="1">
      <protection locked="0"/>
    </xf>
    <xf numFmtId="0" fontId="0" fillId="0" borderId="3" xfId="0" applyFont="1" applyBorder="1" applyAlignment="1" applyProtection="1">
      <protection locked="0"/>
    </xf>
    <xf numFmtId="0" fontId="14" fillId="0" borderId="3" xfId="0" applyFont="1" applyBorder="1" applyAlignment="1" applyProtection="1">
      <protection locked="0"/>
    </xf>
    <xf numFmtId="0" fontId="0" fillId="0" borderId="3" xfId="0" applyFont="1" applyBorder="1" applyAlignment="1" applyProtection="1">
      <alignment wrapText="1"/>
    </xf>
    <xf numFmtId="0" fontId="15" fillId="0" borderId="3" xfId="0" applyFont="1" applyBorder="1" applyAlignment="1" applyProtection="1">
      <protection locked="0"/>
    </xf>
    <xf numFmtId="0" fontId="16" fillId="0" borderId="3" xfId="0" applyFont="1" applyBorder="1" applyAlignment="1" applyProtection="1">
      <protection locked="0"/>
    </xf>
    <xf numFmtId="0" fontId="18" fillId="2" borderId="0" xfId="0" applyFont="1" applyFill="1" applyAlignment="1" applyProtection="1">
      <protection locked="0"/>
    </xf>
  </cellXfs>
  <cellStyles count="3">
    <cellStyle name="Lien hypertexte" xfId="2" builtinId="8"/>
    <cellStyle name="Normal" xfId="0" builtinId="0"/>
    <cellStyle name="Pourcentage" xfId="1" builtinId="5"/>
  </cellStyles>
  <dxfs count="9">
    <dxf>
      <font>
        <color rgb="FFFFFFFF"/>
      </font>
      <fill>
        <patternFill>
          <bgColor theme="0"/>
        </patternFill>
      </fill>
      <border diagonalUp="0" diagonalDown="0">
        <left style="thin">
          <color rgb="FFEF9C29"/>
        </left>
        <right style="thin">
          <color rgb="FFEF9C29"/>
        </right>
        <top/>
        <bottom/>
      </border>
    </dxf>
    <dxf>
      <font>
        <color rgb="FF9C0006"/>
      </font>
      <fill>
        <patternFill>
          <bgColor rgb="FF244D80"/>
        </patternFill>
      </fill>
      <border diagonalUp="0" diagonalDown="0">
        <left style="thin">
          <color auto="1"/>
        </left>
        <right style="thin">
          <color auto="1"/>
        </right>
        <top style="thin">
          <color auto="1"/>
        </top>
        <bottom style="thin">
          <color auto="1"/>
        </bottom>
      </border>
    </dxf>
    <dxf>
      <font>
        <color rgb="FF9C5700"/>
      </font>
      <fill>
        <patternFill>
          <bgColor rgb="FFEF9C29"/>
        </patternFill>
      </fill>
      <border diagonalUp="0" diagonalDown="0">
        <left style="thin">
          <color auto="1"/>
        </left>
        <right style="thin">
          <color auto="1"/>
        </right>
        <top style="thin">
          <color auto="1"/>
        </top>
        <bottom style="thin">
          <color auto="1"/>
        </bottom>
      </border>
    </dxf>
    <dxf>
      <font>
        <color rgb="FF000000"/>
      </font>
      <fill>
        <patternFill>
          <bgColor rgb="FFEF9C29"/>
        </patternFill>
      </fill>
    </dxf>
    <dxf>
      <font>
        <color rgb="FF9C0006"/>
      </font>
      <fill>
        <patternFill>
          <bgColor rgb="FF244D80"/>
        </patternFill>
      </fill>
      <border diagonalUp="0" diagonalDown="0">
        <left style="thin">
          <color auto="1"/>
        </left>
        <right style="thin">
          <color auto="1"/>
        </right>
        <top style="thin">
          <color auto="1"/>
        </top>
        <bottom style="thin">
          <color auto="1"/>
        </bottom>
      </border>
    </dxf>
    <dxf>
      <font>
        <color rgb="FFFFFFFF"/>
      </font>
      <fill>
        <patternFill>
          <bgColor theme="0"/>
        </patternFill>
      </fill>
      <border diagonalUp="0" diagonalDown="0">
        <left style="thin">
          <color rgb="FFEF9C29"/>
        </left>
        <right style="thin">
          <color rgb="FFEF9C29"/>
        </right>
        <top/>
        <bottom/>
      </border>
    </dxf>
    <dxf>
      <font>
        <color rgb="FF9C5700"/>
      </font>
      <fill>
        <patternFill>
          <bgColor rgb="FFEF9C29"/>
        </patternFill>
      </fill>
      <border diagonalUp="0" diagonalDown="0">
        <left style="thin">
          <color auto="1"/>
        </left>
        <right style="thin">
          <color auto="1"/>
        </right>
        <top style="thin">
          <color auto="1"/>
        </top>
        <bottom style="thin">
          <color auto="1"/>
        </bottom>
      </border>
    </dxf>
    <dxf>
      <font>
        <color rgb="FF9C0006"/>
      </font>
      <fill>
        <patternFill>
          <bgColor rgb="FF244D80"/>
        </patternFill>
      </fill>
      <border diagonalUp="0" diagonalDown="0">
        <left style="thin">
          <color auto="1"/>
        </left>
        <right style="thin">
          <color auto="1"/>
        </right>
        <top style="thin">
          <color auto="1"/>
        </top>
        <bottom style="thin">
          <color auto="1"/>
        </bottom>
      </border>
    </dxf>
    <dxf>
      <font>
        <color rgb="FF9C5700"/>
      </font>
      <fill>
        <patternFill>
          <bgColor rgb="FFEF9C29"/>
        </patternFill>
      </fill>
      <border diagonalUp="0" diagonalDown="0">
        <left style="thin">
          <color auto="1"/>
        </left>
        <right style="thin">
          <color auto="1"/>
        </right>
        <top style="thin">
          <color auto="1"/>
        </top>
        <bottom style="thin">
          <color auto="1"/>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EF9C29"/>
      <rgbColor rgb="FFFF6600"/>
      <rgbColor rgb="FF666699"/>
      <rgbColor rgb="FF969696"/>
      <rgbColor rgb="FF003366"/>
      <rgbColor rgb="FF339966"/>
      <rgbColor rgb="FF003300"/>
      <rgbColor rgb="FF333300"/>
      <rgbColor rgb="FF9C5700"/>
      <rgbColor rgb="FF993366"/>
      <rgbColor rgb="FF244D80"/>
      <rgbColor rgb="FF363A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12600</xdr:colOff>
      <xdr:row>12</xdr:row>
      <xdr:rowOff>197640</xdr:rowOff>
    </xdr:from>
    <xdr:to>
      <xdr:col>9</xdr:col>
      <xdr:colOff>2520</xdr:colOff>
      <xdr:row>34</xdr:row>
      <xdr:rowOff>145440</xdr:rowOff>
    </xdr:to>
    <xdr:sp macro="" textlink="">
      <xdr:nvSpPr>
        <xdr:cNvPr id="2" name="Textfeld 4">
          <a:extLst>
            <a:ext uri="{FF2B5EF4-FFF2-40B4-BE49-F238E27FC236}">
              <a16:creationId xmlns:a16="http://schemas.microsoft.com/office/drawing/2014/main" id="{00000000-0008-0000-0000-000002000000}"/>
            </a:ext>
          </a:extLst>
        </xdr:cNvPr>
        <xdr:cNvSpPr/>
      </xdr:nvSpPr>
      <xdr:spPr>
        <a:xfrm>
          <a:off x="12600" y="4019040"/>
          <a:ext cx="13563000" cy="4348440"/>
        </a:xfrm>
        <a:prstGeom prst="rect">
          <a:avLst/>
        </a:prstGeom>
        <a:solidFill>
          <a:srgbClr val="FFFFFF"/>
        </a:solidFill>
        <a:ln w="28575">
          <a:solidFill>
            <a:srgbClr val="244D80"/>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ctr">
          <a:noAutofit/>
        </a:bodyPr>
        <a:lstStyle/>
        <a:p>
          <a:pPr>
            <a:lnSpc>
              <a:spcPct val="100000"/>
            </a:lnSpc>
          </a:pPr>
          <a:r>
            <a:rPr lang="en-US" sz="1400" b="1" strike="noStrike" spc="-1">
              <a:solidFill>
                <a:schemeClr val="dk1"/>
              </a:solidFill>
              <a:latin typeface="Calibri"/>
            </a:rPr>
            <a:t>Guide rapide :</a:t>
          </a:r>
          <a:endParaRPr lang="fr-FR" sz="1400" b="0" strike="noStrike" spc="-1">
            <a:latin typeface="Calibri"/>
          </a:endParaRPr>
        </a:p>
        <a:p>
          <a:pPr>
            <a:lnSpc>
              <a:spcPct val="100000"/>
            </a:lnSpc>
          </a:pPr>
          <a:r>
            <a:rPr lang="en-US" sz="1400" b="0" strike="noStrike" spc="-1">
              <a:solidFill>
                <a:schemeClr val="dk1"/>
              </a:solidFill>
              <a:latin typeface="Calibri"/>
            </a:rPr>
            <a:t>Saisissez d'abord les données générales de votre projet sur cette page. Si nécessaire, vous pouvez étendre le tableau d'équipe de projet en tirant le bord en bas à droite du tableau.</a:t>
          </a:r>
          <a:endParaRPr lang="fr-FR" sz="1400" b="0" strike="noStrike" spc="-1">
            <a:latin typeface="Calibri"/>
          </a:endParaRPr>
        </a:p>
        <a:p>
          <a:pPr>
            <a:lnSpc>
              <a:spcPct val="100000"/>
            </a:lnSpc>
          </a:pPr>
          <a:r>
            <a:rPr lang="en-US" sz="1400" b="0" strike="noStrike" spc="-1">
              <a:solidFill>
                <a:schemeClr val="dk1"/>
              </a:solidFill>
              <a:latin typeface="Calibri"/>
            </a:rPr>
            <a:t>Saisissez ensuite vos lots de travaux avec le code PSP correspondant. Procédez comme suit :</a:t>
          </a:r>
          <a:endParaRPr lang="fr-FR" sz="1400" b="0" strike="noStrike" spc="-1">
            <a:latin typeface="Calibri"/>
          </a:endParaRPr>
        </a:p>
        <a:p>
          <a:pPr>
            <a:lnSpc>
              <a:spcPct val="100000"/>
            </a:lnSpc>
          </a:pPr>
          <a:r>
            <a:rPr lang="en-US" sz="1400" b="0" strike="noStrike" spc="-1">
              <a:solidFill>
                <a:schemeClr val="dk1"/>
              </a:solidFill>
              <a:latin typeface="Calibri"/>
            </a:rPr>
            <a:t>-	Si vous avez un jalon ou un sujet de niveau supérieur, utilisez le champ gris et saisissez le nom (si vous avez besoin d'un nouveau point supérieur, copiez simplement une ligne grise existante).</a:t>
          </a:r>
          <a:endParaRPr lang="fr-FR" sz="1400" b="0" strike="noStrike" spc="-1">
            <a:latin typeface="Calibri"/>
          </a:endParaRPr>
        </a:p>
        <a:p>
          <a:pPr>
            <a:lnSpc>
              <a:spcPct val="100000"/>
            </a:lnSpc>
          </a:pPr>
          <a:r>
            <a:rPr lang="en-US" sz="1400" b="0" strike="noStrike" spc="-1">
              <a:solidFill>
                <a:schemeClr val="dk1"/>
              </a:solidFill>
              <a:latin typeface="Calibri"/>
            </a:rPr>
            <a:t>-	Lorsque vous créez un lot de travaux, remplissez d'abord l'organigramme des tâches du projet (</a:t>
          </a:r>
          <a:r>
            <a:rPr lang="en-US" sz="1400" b="0" i="1" strike="noStrike" spc="-1">
              <a:solidFill>
                <a:schemeClr val="dk1"/>
              </a:solidFill>
              <a:latin typeface="Calibri"/>
            </a:rPr>
            <a:t>work breakdown structure</a:t>
          </a:r>
          <a:r>
            <a:rPr lang="en-US" sz="1400" b="0" strike="noStrike" spc="-1">
              <a:solidFill>
                <a:schemeClr val="dk1"/>
              </a:solidFill>
              <a:latin typeface="Calibri"/>
            </a:rPr>
            <a:t> ou WBS en anglais). Décrivez ensuite la tâche et -sélectionnez l'agent de votre équipe. Notez ensuite la date de début et la durée de la tâche. La date de fin est calculée automatiquement.</a:t>
          </a:r>
          <a:endParaRPr lang="fr-FR" sz="1400" b="0" strike="noStrike" spc="-1">
            <a:latin typeface="Calibri"/>
          </a:endParaRPr>
        </a:p>
        <a:p>
          <a:pPr>
            <a:lnSpc>
              <a:spcPct val="100000"/>
            </a:lnSpc>
          </a:pPr>
          <a:r>
            <a:rPr lang="en-US" sz="1400" b="0" strike="noStrike" spc="-1">
              <a:solidFill>
                <a:schemeClr val="dk1"/>
              </a:solidFill>
              <a:latin typeface="Calibri"/>
            </a:rPr>
            <a:t>-	Dans la colonne Commentaire, vous pouvez saisir des descriptions, des corrélations ou des commentaires.</a:t>
          </a:r>
          <a:endParaRPr lang="fr-FR" sz="1400" b="0" strike="noStrike" spc="-1">
            <a:latin typeface="Calibri"/>
          </a:endParaRPr>
        </a:p>
        <a:p>
          <a:pPr>
            <a:lnSpc>
              <a:spcPct val="100000"/>
            </a:lnSpc>
          </a:pPr>
          <a:r>
            <a:rPr lang="en-US" sz="1400" b="0" strike="noStrike" spc="-1">
              <a:solidFill>
                <a:schemeClr val="dk1"/>
              </a:solidFill>
              <a:latin typeface="Calibri"/>
            </a:rPr>
            <a:t>-	Dans la section Progression, vous pouvez saisir le pourcentage d'avancement de chaque tâche. Le pourcentage d'achèvement de la phase (valeur sur fond gris) est calculé automatiquement.</a:t>
          </a:r>
          <a:endParaRPr lang="fr-FR" sz="1400" b="0" strike="noStrike" spc="-1">
            <a:latin typeface="Calibri"/>
          </a:endParaRPr>
        </a:p>
        <a:p>
          <a:pPr>
            <a:lnSpc>
              <a:spcPct val="100000"/>
            </a:lnSpc>
          </a:pPr>
          <a:r>
            <a:rPr lang="en-US" sz="1400" b="0" strike="noStrike" spc="-1">
              <a:solidFill>
                <a:schemeClr val="dk1"/>
              </a:solidFill>
              <a:latin typeface="Calibri"/>
            </a:rPr>
            <a:t>-	Si vous vous trouvez déjà dans le projet, vous pouvez déplacer l'affichage du plan de projet. Ajustez simplement la valeur du champ "Démarrer l'affichage dans la semaine du projet" (</a:t>
          </a:r>
          <a:r>
            <a:rPr lang="en-US" sz="1400" b="0" i="1" strike="noStrike" spc="-1">
              <a:solidFill>
                <a:schemeClr val="dk1"/>
              </a:solidFill>
              <a:latin typeface="Calibri"/>
            </a:rPr>
            <a:t>Start display in project week</a:t>
          </a:r>
          <a:r>
            <a:rPr lang="en-US" sz="1400" b="0" strike="noStrike" spc="-1">
              <a:solidFill>
                <a:schemeClr val="dk1"/>
              </a:solidFill>
              <a:latin typeface="Calibri"/>
            </a:rPr>
            <a:t>) à la semaine souhaitée depuis le début du projet.</a:t>
          </a:r>
          <a:endParaRPr lang="fr-FR" sz="1400" b="0" strike="noStrike" spc="-1">
            <a:latin typeface="Calibri"/>
          </a:endParaRPr>
        </a:p>
        <a:p>
          <a:pPr>
            <a:lnSpc>
              <a:spcPct val="100000"/>
            </a:lnSpc>
          </a:pPr>
          <a:r>
            <a:rPr lang="en-US" sz="1400" b="0" strike="noStrike" spc="-1">
              <a:solidFill>
                <a:schemeClr val="dk1"/>
              </a:solidFill>
              <a:latin typeface="Calibri"/>
            </a:rPr>
            <a:t>-	Le champ noir "Date de fin au plus tôt possible" (</a:t>
          </a:r>
          <a:r>
            <a:rPr lang="en-US" sz="1400" b="0" i="1" strike="noStrike" spc="-1">
              <a:solidFill>
                <a:schemeClr val="dk1"/>
              </a:solidFill>
              <a:latin typeface="Calibri"/>
            </a:rPr>
            <a:t>Earliest possible end date</a:t>
          </a:r>
          <a:r>
            <a:rPr lang="en-US" sz="1400" b="0" strike="noStrike" spc="-1">
              <a:solidFill>
                <a:schemeClr val="dk1"/>
              </a:solidFill>
              <a:latin typeface="Calibri"/>
            </a:rPr>
            <a:t>) prédit l'échéance de fin du projet la plus proche.</a:t>
          </a:r>
          <a:endParaRPr lang="fr-FR" sz="1400" b="0" strike="noStrike" spc="-1">
            <a:latin typeface="Calibri"/>
          </a:endParaRPr>
        </a:p>
        <a:p>
          <a:pPr>
            <a:lnSpc>
              <a:spcPct val="100000"/>
            </a:lnSpc>
          </a:pPr>
          <a:r>
            <a:rPr lang="en-US" sz="1400" b="0" strike="noStrike" spc="-1">
              <a:solidFill>
                <a:schemeClr val="dk1"/>
              </a:solidFill>
              <a:latin typeface="Calibri"/>
            </a:rPr>
            <a:t>Les barres bleues représentent la durée du lot de travail. La couleur orange superposée indique le degré d'achèvement arrondi. La date du jour est indiquée par une ligne verticale.</a:t>
          </a:r>
          <a:endParaRPr lang="fr-FR" sz="1400" b="0" strike="noStrike" spc="-1">
            <a:latin typeface="Calibri"/>
          </a:endParaRPr>
        </a:p>
        <a:p>
          <a:pPr>
            <a:lnSpc>
              <a:spcPct val="100000"/>
            </a:lnSpc>
          </a:pPr>
          <a:r>
            <a:rPr lang="en-US" sz="1400" b="0" strike="noStrike" spc="-1">
              <a:solidFill>
                <a:schemeClr val="dk1"/>
              </a:solidFill>
              <a:latin typeface="Calibri"/>
            </a:rPr>
            <a:t>Si vous souhaitez étendre la planification, utilisez la fonction de copie des lignes individuelles. </a:t>
          </a:r>
          <a:endParaRPr lang="fr-FR" sz="1400" b="0" strike="noStrike" spc="-1">
            <a:latin typeface="Calibri"/>
          </a:endParaRPr>
        </a:p>
        <a:p>
          <a:pPr>
            <a:lnSpc>
              <a:spcPct val="100000"/>
            </a:lnSpc>
          </a:pPr>
          <a:r>
            <a:rPr lang="en-US" sz="1400" b="0" strike="noStrike" spc="-1">
              <a:solidFill>
                <a:schemeClr val="dk1"/>
              </a:solidFill>
              <a:latin typeface="Calibri"/>
            </a:rPr>
            <a:t>Ce modèle Excel est conçu pour la planification prospective avec des dates de début fixes. Il n'est pas conçu pour la planification à rebours.</a:t>
          </a:r>
          <a:endParaRPr lang="fr-FR" sz="1400" b="0" strike="noStrike" spc="-1">
            <a:latin typeface="Calibri"/>
          </a:endParaRPr>
        </a:p>
        <a:p>
          <a:pPr>
            <a:lnSpc>
              <a:spcPct val="100000"/>
            </a:lnSpc>
          </a:pPr>
          <a:br/>
          <a:endParaRPr lang="fr-FR" sz="1400" b="0" strike="noStrike" spc="-1">
            <a:latin typeface="Calibri"/>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ktteam" displayName="Projektteam" ref="D4:F10" totalsRowShown="0">
  <autoFilter ref="D4:F10" xr:uid="{00000000-0009-0000-0100-000001000000}"/>
  <tableColumns count="3">
    <tableColumn id="1" xr3:uid="{00000000-0010-0000-0000-000001000000}" name="Nom"/>
    <tableColumn id="2" xr3:uid="{00000000-0010-0000-0000-000002000000}" name="Email"/>
    <tableColumn id="3" xr3:uid="{00000000-0010-0000-0000-000003000000}" name="Numéro de téléphon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64"/>
  <sheetViews>
    <sheetView zoomScale="150" zoomScaleNormal="150" workbookViewId="0"/>
  </sheetViews>
  <sheetFormatPr baseColWidth="10" defaultColWidth="10.59765625" defaultRowHeight="15.6" x14ac:dyDescent="0.3"/>
  <cols>
    <col min="1" max="1" width="25.8984375" style="6" customWidth="1"/>
    <col min="2" max="2" width="31.59765625" style="6" customWidth="1"/>
    <col min="3" max="3" width="5.09765625" style="6" customWidth="1"/>
    <col min="4" max="4" width="26.09765625" style="6" customWidth="1"/>
    <col min="5" max="5" width="29" style="6" customWidth="1"/>
    <col min="6" max="6" width="27" style="6" customWidth="1"/>
    <col min="11" max="41" width="10.8984375" style="7" customWidth="1"/>
  </cols>
  <sheetData>
    <row r="1" spans="1:10" ht="111.75" customHeight="1" x14ac:dyDescent="0.3">
      <c r="A1" s="5" t="s">
        <v>0</v>
      </c>
      <c r="B1" s="5"/>
      <c r="C1" s="5"/>
      <c r="D1" s="5"/>
      <c r="E1" s="5"/>
      <c r="F1" s="5"/>
      <c r="G1" s="5"/>
      <c r="H1" s="5"/>
      <c r="I1" s="5"/>
      <c r="J1" s="5"/>
    </row>
    <row r="2" spans="1:10" x14ac:dyDescent="0.3">
      <c r="A2" s="7"/>
      <c r="B2" s="7"/>
      <c r="C2" s="7"/>
      <c r="D2" s="8"/>
      <c r="E2" s="8"/>
      <c r="F2" s="8"/>
      <c r="G2" s="7"/>
      <c r="H2" s="7"/>
      <c r="I2" s="7"/>
      <c r="J2" s="7"/>
    </row>
    <row r="3" spans="1:10" ht="17.399999999999999" x14ac:dyDescent="0.3">
      <c r="A3" s="9" t="s">
        <v>1</v>
      </c>
      <c r="B3" s="7"/>
      <c r="C3" s="7"/>
      <c r="D3" s="10" t="s">
        <v>2</v>
      </c>
      <c r="E3" s="10"/>
      <c r="F3" s="10"/>
      <c r="G3" s="7"/>
      <c r="H3" s="7"/>
      <c r="I3" s="7"/>
      <c r="J3" s="7"/>
    </row>
    <row r="4" spans="1:10" ht="30.6" x14ac:dyDescent="0.3">
      <c r="A4" s="11" t="s">
        <v>3</v>
      </c>
      <c r="B4" s="12" t="s">
        <v>4</v>
      </c>
      <c r="C4" s="7"/>
      <c r="D4" s="13" t="s">
        <v>5</v>
      </c>
      <c r="E4" s="13" t="s">
        <v>6</v>
      </c>
      <c r="F4" s="13" t="s">
        <v>7</v>
      </c>
      <c r="G4" s="7"/>
      <c r="H4" s="7"/>
      <c r="I4" s="7"/>
      <c r="J4" s="7"/>
    </row>
    <row r="5" spans="1:10" ht="17.399999999999999" x14ac:dyDescent="0.3">
      <c r="A5" s="11" t="s">
        <v>8</v>
      </c>
      <c r="B5" s="14" t="s">
        <v>9</v>
      </c>
      <c r="C5" s="7"/>
      <c r="D5" s="15" t="s">
        <v>10</v>
      </c>
      <c r="E5" s="16"/>
      <c r="F5" s="15"/>
      <c r="G5" s="7"/>
      <c r="H5" s="7"/>
      <c r="I5" s="7"/>
      <c r="J5" s="7"/>
    </row>
    <row r="6" spans="1:10" ht="17.399999999999999" x14ac:dyDescent="0.3">
      <c r="A6" s="11" t="s">
        <v>11</v>
      </c>
      <c r="B6" s="17">
        <v>45713</v>
      </c>
      <c r="C6" s="7"/>
      <c r="D6" s="15" t="s">
        <v>12</v>
      </c>
      <c r="E6" s="16"/>
      <c r="F6" s="15"/>
      <c r="G6" s="7"/>
      <c r="H6" s="7"/>
      <c r="I6" s="7"/>
      <c r="J6" s="7"/>
    </row>
    <row r="7" spans="1:10" x14ac:dyDescent="0.3">
      <c r="A7" s="7"/>
      <c r="B7" s="7"/>
      <c r="C7" s="7"/>
      <c r="D7" s="15" t="s">
        <v>13</v>
      </c>
      <c r="E7" s="16"/>
      <c r="F7" s="15"/>
      <c r="G7" s="7"/>
      <c r="H7" s="7"/>
      <c r="I7" s="7"/>
      <c r="J7" s="7"/>
    </row>
    <row r="8" spans="1:10" x14ac:dyDescent="0.3">
      <c r="A8" s="7"/>
      <c r="B8" s="7"/>
      <c r="C8" s="7"/>
      <c r="D8" s="15"/>
      <c r="E8" s="16"/>
      <c r="F8" s="15"/>
      <c r="G8" s="7"/>
      <c r="H8" s="7"/>
      <c r="I8" s="7"/>
      <c r="J8" s="7"/>
    </row>
    <row r="9" spans="1:10" x14ac:dyDescent="0.3">
      <c r="A9" s="7"/>
      <c r="B9" s="7"/>
      <c r="C9" s="7"/>
      <c r="D9" s="15"/>
      <c r="E9" s="16"/>
      <c r="F9" s="15"/>
      <c r="G9" s="7"/>
      <c r="H9" s="7"/>
      <c r="I9" s="7"/>
      <c r="J9" s="7"/>
    </row>
    <row r="10" spans="1:10" x14ac:dyDescent="0.3">
      <c r="A10" s="7"/>
      <c r="B10" s="7"/>
      <c r="C10" s="7"/>
      <c r="D10" s="15"/>
      <c r="E10" s="16"/>
      <c r="F10" s="15"/>
      <c r="G10" s="7"/>
      <c r="H10" s="7"/>
      <c r="I10" s="7"/>
      <c r="J10" s="7"/>
    </row>
    <row r="11" spans="1:10" x14ac:dyDescent="0.3">
      <c r="A11" s="7"/>
      <c r="B11" s="7"/>
      <c r="C11" s="7"/>
      <c r="D11" s="8"/>
      <c r="E11" s="8"/>
      <c r="F11" s="8"/>
      <c r="G11" s="7"/>
      <c r="H11" s="7"/>
      <c r="I11" s="7"/>
      <c r="J11" s="7"/>
    </row>
    <row r="12" spans="1:10" x14ac:dyDescent="0.3">
      <c r="A12" s="7"/>
      <c r="B12" s="7"/>
      <c r="C12" s="7"/>
      <c r="D12" s="8"/>
      <c r="E12" s="8"/>
      <c r="F12" s="8"/>
      <c r="G12" s="7"/>
      <c r="H12" s="7"/>
      <c r="I12" s="7"/>
      <c r="J12" s="7"/>
    </row>
    <row r="13" spans="1:10" x14ac:dyDescent="0.3">
      <c r="A13" s="7"/>
      <c r="B13" s="7"/>
      <c r="C13" s="7"/>
      <c r="D13" s="7"/>
      <c r="E13" s="7"/>
      <c r="F13" s="7"/>
      <c r="G13" s="7"/>
      <c r="H13" s="7"/>
      <c r="I13" s="7"/>
      <c r="J13" s="7"/>
    </row>
    <row r="14" spans="1:10" x14ac:dyDescent="0.3">
      <c r="A14" s="7"/>
      <c r="B14" s="7"/>
      <c r="C14" s="7"/>
      <c r="D14" s="7"/>
      <c r="E14" s="7"/>
      <c r="F14" s="7"/>
      <c r="G14" s="7"/>
      <c r="H14" s="7"/>
      <c r="I14" s="7"/>
      <c r="J14" s="7"/>
    </row>
    <row r="15" spans="1:10" x14ac:dyDescent="0.3">
      <c r="A15" s="7"/>
      <c r="B15" s="7"/>
      <c r="C15" s="7"/>
      <c r="D15" s="7"/>
      <c r="E15" s="7"/>
      <c r="F15" s="7"/>
      <c r="G15" s="7"/>
      <c r="H15" s="7"/>
      <c r="I15" s="7"/>
      <c r="J15" s="7"/>
    </row>
    <row r="16" spans="1:10" x14ac:dyDescent="0.3">
      <c r="A16" s="7"/>
      <c r="B16" s="7"/>
      <c r="C16" s="7"/>
      <c r="D16" s="7"/>
      <c r="E16" s="7"/>
      <c r="F16" s="7"/>
      <c r="G16" s="7"/>
      <c r="H16" s="7"/>
      <c r="I16" s="7"/>
      <c r="J16" s="7"/>
    </row>
    <row r="17" spans="1:10" x14ac:dyDescent="0.3">
      <c r="A17" s="7"/>
      <c r="B17" s="7"/>
      <c r="C17" s="7"/>
      <c r="D17" s="7"/>
      <c r="E17" s="7"/>
      <c r="F17" s="7"/>
      <c r="G17" s="7"/>
      <c r="H17" s="7"/>
      <c r="I17" s="7"/>
      <c r="J17" s="7"/>
    </row>
    <row r="18" spans="1:10" x14ac:dyDescent="0.3">
      <c r="A18" s="7"/>
      <c r="B18" s="7"/>
      <c r="C18" s="7"/>
      <c r="D18" s="7"/>
      <c r="E18" s="7"/>
      <c r="F18" s="7"/>
      <c r="G18" s="7"/>
      <c r="H18" s="7"/>
      <c r="I18" s="7"/>
      <c r="J18" s="7"/>
    </row>
    <row r="19" spans="1:10" x14ac:dyDescent="0.3">
      <c r="A19" s="7"/>
      <c r="B19" s="7"/>
      <c r="C19" s="7"/>
      <c r="D19" s="7"/>
      <c r="E19" s="7"/>
      <c r="F19" s="7"/>
      <c r="G19" s="7"/>
      <c r="H19" s="7"/>
      <c r="I19" s="7"/>
      <c r="J19" s="7"/>
    </row>
    <row r="20" spans="1:10" x14ac:dyDescent="0.3">
      <c r="A20" s="7"/>
      <c r="B20" s="7"/>
      <c r="C20" s="7"/>
      <c r="D20" s="7"/>
      <c r="E20" s="7"/>
      <c r="F20" s="7"/>
      <c r="G20" s="7"/>
      <c r="H20" s="7"/>
      <c r="I20" s="7"/>
      <c r="J20" s="7"/>
    </row>
    <row r="21" spans="1:10" x14ac:dyDescent="0.3">
      <c r="A21" s="7"/>
      <c r="B21" s="7"/>
      <c r="C21" s="7"/>
      <c r="D21" s="7"/>
      <c r="E21" s="7"/>
      <c r="F21" s="7"/>
      <c r="G21" s="7"/>
      <c r="H21" s="7"/>
      <c r="I21" s="7"/>
      <c r="J21" s="7"/>
    </row>
    <row r="22" spans="1:10" x14ac:dyDescent="0.3">
      <c r="A22" s="7"/>
      <c r="B22" s="7"/>
      <c r="C22" s="7"/>
      <c r="D22" s="7"/>
      <c r="E22" s="7"/>
      <c r="F22" s="7"/>
      <c r="G22" s="7"/>
      <c r="H22" s="7"/>
      <c r="I22" s="7"/>
      <c r="J22" s="7"/>
    </row>
    <row r="23" spans="1:10" x14ac:dyDescent="0.3">
      <c r="A23" s="7"/>
      <c r="B23" s="7"/>
      <c r="C23" s="7"/>
      <c r="D23" s="7"/>
      <c r="E23" s="7"/>
      <c r="F23" s="7"/>
      <c r="G23" s="7"/>
      <c r="H23" s="7"/>
      <c r="I23" s="7"/>
      <c r="J23" s="7"/>
    </row>
    <row r="24" spans="1:10" x14ac:dyDescent="0.3">
      <c r="A24" s="7"/>
      <c r="B24" s="7"/>
      <c r="C24" s="7"/>
      <c r="D24" s="7"/>
      <c r="E24" s="7"/>
      <c r="F24" s="7"/>
      <c r="G24" s="7"/>
      <c r="H24" s="7"/>
      <c r="I24" s="7"/>
      <c r="J24" s="7"/>
    </row>
    <row r="25" spans="1:10" x14ac:dyDescent="0.3">
      <c r="A25" s="7"/>
      <c r="B25" s="7"/>
      <c r="C25" s="7"/>
      <c r="D25" s="7"/>
      <c r="E25" s="7"/>
      <c r="F25" s="7"/>
      <c r="G25" s="7"/>
      <c r="H25" s="7"/>
      <c r="I25" s="7"/>
      <c r="J25" s="7"/>
    </row>
    <row r="26" spans="1:10" x14ac:dyDescent="0.3">
      <c r="A26" s="7"/>
      <c r="B26" s="7"/>
      <c r="C26" s="7"/>
      <c r="D26" s="7"/>
      <c r="E26" s="7"/>
      <c r="F26" s="7"/>
      <c r="G26" s="7"/>
      <c r="H26" s="7"/>
      <c r="I26" s="7"/>
      <c r="J26" s="7"/>
    </row>
    <row r="27" spans="1:10" x14ac:dyDescent="0.3">
      <c r="A27" s="7"/>
      <c r="B27" s="7"/>
      <c r="C27" s="7"/>
      <c r="D27" s="7"/>
      <c r="E27" s="7"/>
      <c r="F27" s="7"/>
      <c r="G27" s="7"/>
      <c r="H27" s="7"/>
      <c r="I27" s="7"/>
      <c r="J27" s="7"/>
    </row>
    <row r="28" spans="1:10" x14ac:dyDescent="0.3">
      <c r="A28" s="7"/>
      <c r="B28" s="7"/>
      <c r="C28" s="7"/>
      <c r="D28" s="7"/>
      <c r="E28" s="7"/>
      <c r="F28" s="7"/>
      <c r="G28" s="7"/>
      <c r="H28" s="7"/>
      <c r="I28" s="7"/>
      <c r="J28" s="7"/>
    </row>
    <row r="29" spans="1:10" x14ac:dyDescent="0.3">
      <c r="A29" s="7"/>
      <c r="B29" s="7"/>
      <c r="C29" s="7"/>
      <c r="D29" s="7"/>
      <c r="E29" s="7"/>
      <c r="F29" s="7"/>
      <c r="G29" s="7"/>
      <c r="H29" s="7"/>
      <c r="I29" s="7"/>
      <c r="J29" s="7"/>
    </row>
    <row r="30" spans="1:10" x14ac:dyDescent="0.3">
      <c r="A30" s="7"/>
      <c r="B30" s="7"/>
      <c r="C30" s="7"/>
      <c r="D30" s="7"/>
      <c r="E30" s="7"/>
      <c r="F30" s="7"/>
      <c r="G30" s="7"/>
      <c r="H30" s="7"/>
      <c r="I30" s="7"/>
      <c r="J30" s="7"/>
    </row>
    <row r="31" spans="1:10" x14ac:dyDescent="0.3">
      <c r="A31" s="7"/>
      <c r="B31" s="7"/>
      <c r="C31" s="7"/>
      <c r="D31" s="7"/>
      <c r="E31" s="7"/>
      <c r="F31" s="7"/>
      <c r="G31" s="7"/>
      <c r="H31" s="7"/>
      <c r="I31" s="7"/>
      <c r="J31" s="7"/>
    </row>
    <row r="32" spans="1:10" x14ac:dyDescent="0.3">
      <c r="A32" s="7"/>
      <c r="B32" s="7"/>
      <c r="C32" s="7"/>
      <c r="D32" s="7"/>
      <c r="E32" s="7"/>
      <c r="F32" s="7"/>
      <c r="G32" s="7"/>
      <c r="H32" s="7"/>
      <c r="I32" s="7"/>
      <c r="J32" s="7"/>
    </row>
    <row r="33" spans="1:10" x14ac:dyDescent="0.3">
      <c r="A33" s="7"/>
      <c r="B33" s="7"/>
      <c r="C33" s="7"/>
      <c r="D33" s="7"/>
      <c r="E33" s="7"/>
      <c r="F33" s="7"/>
      <c r="G33" s="7"/>
      <c r="H33" s="7"/>
      <c r="I33" s="7"/>
      <c r="J33" s="7"/>
    </row>
    <row r="34" spans="1:10" x14ac:dyDescent="0.3">
      <c r="A34" s="7"/>
      <c r="B34" s="7"/>
      <c r="C34" s="7"/>
      <c r="D34" s="7"/>
      <c r="E34" s="7"/>
      <c r="F34" s="7"/>
      <c r="G34" s="7"/>
      <c r="H34" s="7"/>
      <c r="I34" s="7"/>
      <c r="J34" s="7"/>
    </row>
    <row r="35" spans="1:10" x14ac:dyDescent="0.3">
      <c r="A35" s="7"/>
      <c r="B35" s="7"/>
      <c r="C35" s="7"/>
      <c r="D35" s="7"/>
      <c r="E35" s="7"/>
      <c r="F35" s="7"/>
      <c r="G35" s="7"/>
      <c r="H35" s="7"/>
      <c r="I35" s="7"/>
      <c r="J35" s="7"/>
    </row>
    <row r="36" spans="1:10" x14ac:dyDescent="0.3">
      <c r="A36" s="7"/>
      <c r="B36" s="7"/>
      <c r="C36" s="7"/>
      <c r="D36" s="7"/>
      <c r="E36" s="7"/>
      <c r="F36" s="7"/>
      <c r="G36" s="7"/>
      <c r="H36" s="7"/>
      <c r="I36" s="7"/>
      <c r="J36" s="7"/>
    </row>
    <row r="37" spans="1:10" x14ac:dyDescent="0.3">
      <c r="A37" s="7"/>
      <c r="B37" s="7"/>
      <c r="C37" s="7"/>
      <c r="D37" s="7"/>
      <c r="E37" s="7"/>
      <c r="F37" s="7"/>
      <c r="G37" s="7"/>
      <c r="H37" s="7"/>
      <c r="I37" s="7"/>
      <c r="J37" s="7"/>
    </row>
    <row r="38" spans="1:10" x14ac:dyDescent="0.3">
      <c r="A38" s="7"/>
      <c r="B38" s="7"/>
      <c r="C38" s="7"/>
      <c r="D38" s="7"/>
      <c r="E38" s="7"/>
      <c r="F38" s="7"/>
      <c r="G38" s="7"/>
      <c r="H38" s="7"/>
      <c r="I38" s="7"/>
      <c r="J38" s="7"/>
    </row>
    <row r="39" spans="1:10" x14ac:dyDescent="0.3">
      <c r="A39" s="7"/>
      <c r="B39" s="7"/>
      <c r="C39" s="7"/>
      <c r="D39" s="7"/>
      <c r="E39" s="7"/>
      <c r="F39" s="7"/>
      <c r="G39" s="7"/>
      <c r="H39" s="7"/>
      <c r="I39" s="7"/>
      <c r="J39" s="7"/>
    </row>
    <row r="40" spans="1:10" x14ac:dyDescent="0.3">
      <c r="A40" s="7"/>
      <c r="B40" s="7"/>
      <c r="C40" s="7"/>
      <c r="D40" s="7"/>
      <c r="E40" s="7"/>
      <c r="F40" s="7"/>
      <c r="G40" s="7"/>
      <c r="H40" s="7"/>
      <c r="I40" s="7"/>
      <c r="J40" s="7"/>
    </row>
    <row r="41" spans="1:10" x14ac:dyDescent="0.3">
      <c r="A41" s="7"/>
      <c r="B41" s="7"/>
      <c r="C41" s="7"/>
      <c r="D41" s="7"/>
      <c r="E41" s="7"/>
      <c r="F41" s="7"/>
      <c r="G41" s="7"/>
      <c r="H41" s="7"/>
      <c r="I41" s="7"/>
      <c r="J41" s="7"/>
    </row>
    <row r="42" spans="1:10" x14ac:dyDescent="0.3">
      <c r="A42" s="7"/>
      <c r="B42" s="7"/>
      <c r="C42" s="7"/>
      <c r="D42" s="7"/>
      <c r="E42" s="7"/>
      <c r="F42" s="7"/>
      <c r="G42" s="7"/>
      <c r="H42" s="7"/>
      <c r="I42" s="7"/>
      <c r="J42" s="7"/>
    </row>
    <row r="43" spans="1:10" x14ac:dyDescent="0.3">
      <c r="A43" s="7"/>
      <c r="B43" s="7"/>
      <c r="C43" s="7"/>
      <c r="D43" s="7"/>
      <c r="E43" s="7"/>
      <c r="F43" s="7"/>
      <c r="G43" s="7"/>
      <c r="H43" s="7"/>
      <c r="I43" s="7"/>
      <c r="J43" s="7"/>
    </row>
    <row r="44" spans="1:10" x14ac:dyDescent="0.3">
      <c r="A44" s="7"/>
      <c r="B44" s="7"/>
      <c r="C44" s="7"/>
      <c r="D44" s="7"/>
      <c r="E44" s="7"/>
      <c r="F44" s="7"/>
      <c r="G44" s="7"/>
      <c r="H44" s="7"/>
      <c r="I44" s="7"/>
      <c r="J44" s="7"/>
    </row>
    <row r="45" spans="1:10" x14ac:dyDescent="0.3">
      <c r="A45" s="7"/>
      <c r="B45" s="7"/>
      <c r="C45" s="7"/>
      <c r="D45" s="7"/>
      <c r="E45" s="7"/>
      <c r="F45" s="7"/>
      <c r="G45" s="7"/>
      <c r="H45" s="7"/>
      <c r="I45" s="7"/>
      <c r="J45" s="7"/>
    </row>
    <row r="46" spans="1:10" x14ac:dyDescent="0.3">
      <c r="A46" s="7"/>
      <c r="B46" s="7"/>
      <c r="C46" s="7"/>
      <c r="D46" s="7"/>
      <c r="E46" s="7"/>
      <c r="F46" s="7"/>
      <c r="G46" s="7"/>
      <c r="H46" s="7"/>
      <c r="I46" s="7"/>
      <c r="J46" s="7"/>
    </row>
    <row r="47" spans="1:10" x14ac:dyDescent="0.3">
      <c r="A47" s="7"/>
      <c r="B47" s="7"/>
      <c r="C47" s="7"/>
      <c r="D47" s="7"/>
      <c r="E47" s="7"/>
      <c r="F47" s="7"/>
      <c r="G47" s="7"/>
      <c r="H47" s="7"/>
      <c r="I47" s="7"/>
      <c r="J47" s="7"/>
    </row>
    <row r="48" spans="1:10" x14ac:dyDescent="0.3">
      <c r="A48" s="7"/>
      <c r="B48" s="7"/>
      <c r="C48" s="7"/>
      <c r="D48" s="7"/>
      <c r="E48" s="7"/>
      <c r="F48" s="7"/>
      <c r="G48" s="7"/>
      <c r="H48" s="7"/>
      <c r="I48" s="7"/>
      <c r="J48" s="7"/>
    </row>
    <row r="49" spans="1:10" x14ac:dyDescent="0.3">
      <c r="A49" s="7"/>
      <c r="B49" s="7"/>
      <c r="C49" s="7"/>
      <c r="D49" s="7"/>
      <c r="E49" s="7"/>
      <c r="F49" s="7"/>
      <c r="G49" s="7"/>
      <c r="H49" s="7"/>
      <c r="I49" s="7"/>
      <c r="J49" s="7"/>
    </row>
    <row r="50" spans="1:10" x14ac:dyDescent="0.3">
      <c r="A50" s="7"/>
      <c r="B50" s="7"/>
      <c r="C50" s="7"/>
      <c r="D50" s="7"/>
      <c r="E50" s="7"/>
      <c r="F50" s="7"/>
      <c r="G50" s="7"/>
      <c r="H50" s="7"/>
      <c r="I50" s="7"/>
      <c r="J50" s="7"/>
    </row>
    <row r="51" spans="1:10" x14ac:dyDescent="0.3">
      <c r="A51" s="7"/>
      <c r="B51" s="7"/>
      <c r="C51" s="7"/>
      <c r="D51" s="7"/>
      <c r="E51" s="7"/>
      <c r="F51" s="7"/>
      <c r="G51" s="7"/>
      <c r="H51" s="7"/>
      <c r="I51" s="7"/>
      <c r="J51" s="7"/>
    </row>
    <row r="52" spans="1:10" x14ac:dyDescent="0.3">
      <c r="A52" s="7"/>
      <c r="B52" s="7"/>
      <c r="C52" s="7"/>
      <c r="D52" s="7"/>
      <c r="E52" s="7"/>
      <c r="F52" s="7"/>
      <c r="G52" s="7"/>
      <c r="H52" s="7"/>
      <c r="I52" s="7"/>
      <c r="J52" s="7"/>
    </row>
    <row r="53" spans="1:10" x14ac:dyDescent="0.3">
      <c r="A53" s="7"/>
      <c r="B53" s="7"/>
      <c r="C53" s="7"/>
      <c r="D53" s="7"/>
      <c r="E53" s="7"/>
      <c r="F53" s="7"/>
      <c r="G53" s="7"/>
      <c r="H53" s="7"/>
      <c r="I53" s="7"/>
      <c r="J53" s="7"/>
    </row>
    <row r="54" spans="1:10" x14ac:dyDescent="0.3">
      <c r="A54" s="7"/>
      <c r="B54" s="7"/>
      <c r="C54" s="7"/>
      <c r="D54" s="7"/>
      <c r="E54" s="7"/>
      <c r="F54" s="7"/>
      <c r="G54" s="7"/>
      <c r="H54" s="7"/>
      <c r="I54" s="7"/>
      <c r="J54" s="7"/>
    </row>
    <row r="55" spans="1:10" x14ac:dyDescent="0.3">
      <c r="A55" s="7"/>
      <c r="B55" s="7"/>
      <c r="C55" s="7"/>
      <c r="D55" s="7"/>
      <c r="E55" s="7"/>
      <c r="F55" s="7"/>
      <c r="G55" s="7"/>
      <c r="H55" s="7"/>
      <c r="I55" s="7"/>
      <c r="J55" s="7"/>
    </row>
    <row r="56" spans="1:10" x14ac:dyDescent="0.3">
      <c r="A56" s="7"/>
      <c r="B56" s="7"/>
      <c r="C56" s="7"/>
      <c r="D56" s="7"/>
      <c r="E56" s="7"/>
      <c r="F56" s="7"/>
      <c r="G56" s="7"/>
      <c r="H56" s="7"/>
      <c r="I56" s="7"/>
      <c r="J56" s="7"/>
    </row>
    <row r="57" spans="1:10" x14ac:dyDescent="0.3">
      <c r="A57" s="7"/>
      <c r="B57" s="7"/>
      <c r="C57" s="7"/>
      <c r="D57" s="7"/>
      <c r="E57" s="7"/>
      <c r="F57" s="7"/>
      <c r="G57" s="7"/>
      <c r="H57" s="7"/>
      <c r="I57" s="7"/>
      <c r="J57" s="7"/>
    </row>
    <row r="58" spans="1:10" x14ac:dyDescent="0.3">
      <c r="A58" s="7"/>
      <c r="B58" s="7"/>
      <c r="C58" s="7"/>
      <c r="D58" s="7"/>
      <c r="E58" s="7"/>
      <c r="F58" s="7"/>
      <c r="G58" s="7"/>
      <c r="H58" s="7"/>
      <c r="I58" s="7"/>
      <c r="J58" s="7"/>
    </row>
    <row r="59" spans="1:10" x14ac:dyDescent="0.3">
      <c r="A59" s="7"/>
      <c r="B59" s="7"/>
      <c r="C59" s="7"/>
      <c r="D59" s="7"/>
      <c r="E59" s="7"/>
      <c r="F59" s="7"/>
      <c r="G59" s="7"/>
      <c r="H59" s="7"/>
      <c r="I59" s="7"/>
      <c r="J59" s="7"/>
    </row>
    <row r="60" spans="1:10" x14ac:dyDescent="0.3">
      <c r="A60" s="7"/>
      <c r="B60" s="7"/>
      <c r="C60" s="7"/>
      <c r="D60" s="7"/>
      <c r="E60" s="7"/>
      <c r="F60" s="7"/>
      <c r="G60" s="7"/>
      <c r="H60" s="7"/>
      <c r="I60" s="7"/>
      <c r="J60" s="7"/>
    </row>
    <row r="61" spans="1:10" x14ac:dyDescent="0.3">
      <c r="A61" s="7"/>
      <c r="B61" s="7"/>
      <c r="C61" s="7"/>
      <c r="D61" s="7"/>
      <c r="E61" s="7"/>
      <c r="F61" s="7"/>
      <c r="G61" s="7"/>
      <c r="H61" s="7"/>
      <c r="I61" s="7"/>
      <c r="J61" s="7"/>
    </row>
    <row r="62" spans="1:10" x14ac:dyDescent="0.3">
      <c r="A62" s="7"/>
      <c r="B62" s="7"/>
      <c r="C62" s="7"/>
      <c r="D62" s="7"/>
      <c r="E62" s="7"/>
      <c r="F62" s="7"/>
      <c r="G62" s="7"/>
      <c r="H62" s="7"/>
      <c r="I62" s="7"/>
      <c r="J62" s="7"/>
    </row>
    <row r="63" spans="1:10" x14ac:dyDescent="0.3">
      <c r="A63" s="7"/>
      <c r="B63" s="7"/>
      <c r="C63" s="7"/>
      <c r="D63" s="7"/>
      <c r="E63" s="7"/>
      <c r="F63" s="7"/>
      <c r="G63" s="7"/>
      <c r="H63" s="7"/>
      <c r="I63" s="7"/>
      <c r="J63" s="7"/>
    </row>
    <row r="64" spans="1:10" x14ac:dyDescent="0.3">
      <c r="A64" s="7"/>
      <c r="B64" s="7"/>
      <c r="C64" s="7"/>
      <c r="D64" s="7"/>
      <c r="E64" s="7"/>
      <c r="F64" s="7"/>
      <c r="G64" s="7"/>
      <c r="H64" s="7"/>
      <c r="I64" s="7"/>
      <c r="J64" s="7"/>
    </row>
  </sheetData>
  <mergeCells count="1">
    <mergeCell ref="A1:J1"/>
  </mergeCells>
  <pageMargins left="0.7" right="0.7" top="0.78749999999999998" bottom="0.78749999999999998" header="0.511811023622047" footer="0.511811023622047"/>
  <pageSetup paperSize="9" orientation="portrait" horizontalDpi="300" verticalDpi="300"/>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M304"/>
  <sheetViews>
    <sheetView tabSelected="1" topLeftCell="C1" zoomScale="85" zoomScaleNormal="85" workbookViewId="0">
      <selection activeCell="K22" sqref="K22"/>
    </sheetView>
  </sheetViews>
  <sheetFormatPr baseColWidth="10" defaultColWidth="10.8984375" defaultRowHeight="15" x14ac:dyDescent="0.25"/>
  <cols>
    <col min="1" max="1" width="14.5" style="18" customWidth="1"/>
    <col min="2" max="2" width="73.59765625" style="18" customWidth="1"/>
    <col min="3" max="3" width="27" style="18" customWidth="1"/>
    <col min="4" max="4" width="159.796875" style="18" bestFit="1" customWidth="1"/>
    <col min="5" max="5" width="17.59765625" style="18" customWidth="1"/>
    <col min="6" max="6" width="42.19921875" style="18" customWidth="1"/>
    <col min="7" max="7" width="9.59765625" style="18" customWidth="1"/>
    <col min="8" max="8" width="13" style="18" customWidth="1"/>
    <col min="9" max="9" width="3.5" style="19" customWidth="1"/>
    <col min="10" max="99" width="3.5" style="15" customWidth="1"/>
    <col min="100" max="16384" width="10.8984375" style="15"/>
  </cols>
  <sheetData>
    <row r="1" spans="1:169" x14ac:dyDescent="0.25">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row>
    <row r="2" spans="1:169" ht="17.399999999999999" x14ac:dyDescent="0.3">
      <c r="B2" s="20" t="str">
        <f>IF(ISBLANK('Basic Data'!$B$4),"Nom de la feuille", 'Basic Data'!$B$4)</f>
        <v>SAE 2-06 : Analyse de données, Reporting et Datavisualisation</v>
      </c>
      <c r="F2" s="21"/>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row>
    <row r="3" spans="1:169" ht="17.399999999999999" x14ac:dyDescent="0.3">
      <c r="F3" s="22" t="s">
        <v>14</v>
      </c>
      <c r="G3" s="23"/>
      <c r="H3" s="23"/>
      <c r="I3" s="8"/>
      <c r="J3" s="8"/>
      <c r="K3" s="8"/>
      <c r="L3" s="8"/>
      <c r="M3" s="8"/>
      <c r="N3" s="8"/>
      <c r="O3" s="8"/>
      <c r="P3" s="8"/>
      <c r="Q3" s="8"/>
      <c r="R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row>
    <row r="4" spans="1:169" x14ac:dyDescent="0.25">
      <c r="B4" s="23" t="s">
        <v>15</v>
      </c>
      <c r="C4" s="14" t="s">
        <v>9</v>
      </c>
      <c r="D4" s="24"/>
      <c r="G4" s="25"/>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row>
    <row r="5" spans="1:169" ht="17.399999999999999" x14ac:dyDescent="0.3">
      <c r="B5" s="23" t="s">
        <v>16</v>
      </c>
      <c r="C5" s="17">
        <v>45713</v>
      </c>
      <c r="D5" s="26"/>
      <c r="E5" s="18" t="s">
        <v>17</v>
      </c>
      <c r="G5" s="27">
        <v>1</v>
      </c>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row>
    <row r="6" spans="1:169" x14ac:dyDescent="0.25">
      <c r="B6" s="23" t="s">
        <v>18</v>
      </c>
      <c r="C6" s="28">
        <f ca="1">TODAY()</f>
        <v>45812</v>
      </c>
      <c r="D6" s="29"/>
      <c r="H6" s="30"/>
      <c r="I6" s="4" t="str">
        <f>"Semaine "&amp;(I8-($C$5-WEEKDAY($C$5,1)+2))/7+1</f>
        <v>Semaine 1</v>
      </c>
      <c r="J6" s="4"/>
      <c r="K6" s="4"/>
      <c r="L6" s="4"/>
      <c r="M6" s="4"/>
      <c r="N6" s="4"/>
      <c r="O6" s="4"/>
      <c r="P6" s="3" t="str">
        <f>"Semaine "&amp;(P8-($C$5-WEEKDAY($C$5,1)+2))/7+1</f>
        <v>Semaine 2</v>
      </c>
      <c r="Q6" s="3"/>
      <c r="R6" s="3"/>
      <c r="S6" s="3"/>
      <c r="T6" s="3"/>
      <c r="U6" s="3"/>
      <c r="V6" s="3"/>
      <c r="W6" s="3" t="str">
        <f>"Semaine "&amp;(W8-($C$5-WEEKDAY($C$5,1)+2))/7+1</f>
        <v>Semaine 3</v>
      </c>
      <c r="X6" s="3"/>
      <c r="Y6" s="3"/>
      <c r="Z6" s="3"/>
      <c r="AA6" s="3"/>
      <c r="AB6" s="3"/>
      <c r="AC6" s="3"/>
      <c r="AD6" s="3" t="str">
        <f>"Semaine "&amp;(AD8-($C$5-WEEKDAY($C$5,1)+2))/7+1</f>
        <v>Semaine 4</v>
      </c>
      <c r="AE6" s="3"/>
      <c r="AF6" s="3"/>
      <c r="AG6" s="3"/>
      <c r="AH6" s="3"/>
      <c r="AI6" s="3"/>
      <c r="AJ6" s="3"/>
      <c r="AK6" s="3" t="str">
        <f>"Semaine "&amp;(AK8-($C$5-WEEKDAY($C$5,1)+2))/7+1</f>
        <v>Semaine 5</v>
      </c>
      <c r="AL6" s="3"/>
      <c r="AM6" s="3"/>
      <c r="AN6" s="3"/>
      <c r="AO6" s="3"/>
      <c r="AP6" s="3"/>
      <c r="AQ6" s="3"/>
      <c r="AR6" s="3" t="str">
        <f>"Semaine "&amp;(AR8-($C$5-WEEKDAY($C$5,1)+2))/7+1</f>
        <v>Semaine 6</v>
      </c>
      <c r="AS6" s="3"/>
      <c r="AT6" s="3"/>
      <c r="AU6" s="3"/>
      <c r="AV6" s="3"/>
      <c r="AW6" s="3"/>
      <c r="AX6" s="3"/>
      <c r="AY6" s="3" t="str">
        <f>"Semaine "&amp;(AY8-($C$5-WEEKDAY($C$5,1)+2))/7+1</f>
        <v>Semaine 7</v>
      </c>
      <c r="AZ6" s="3"/>
      <c r="BA6" s="3"/>
      <c r="BB6" s="3"/>
      <c r="BC6" s="3"/>
      <c r="BD6" s="3"/>
      <c r="BE6" s="3"/>
      <c r="BF6" s="3" t="str">
        <f>"Semaine "&amp;(BF8-($C$5-WEEKDAY($C$5,1)+2))/7+1</f>
        <v>Semaine 8</v>
      </c>
      <c r="BG6" s="3"/>
      <c r="BH6" s="3"/>
      <c r="BI6" s="3"/>
      <c r="BJ6" s="3"/>
      <c r="BK6" s="3"/>
      <c r="BL6" s="3"/>
      <c r="BM6" s="3" t="str">
        <f>"Semaine "&amp;(BM8-($C$5-WEEKDAY($C$5,1)+2))/7+1</f>
        <v>Semaine 9</v>
      </c>
      <c r="BN6" s="3"/>
      <c r="BO6" s="3"/>
      <c r="BP6" s="3"/>
      <c r="BQ6" s="3"/>
      <c r="BR6" s="3"/>
      <c r="BS6" s="3"/>
      <c r="BT6" s="3" t="str">
        <f>"Semaine "&amp;(BT8-($C$5-WEEKDAY($C$5,1)+2))/7+1</f>
        <v>Semaine 10</v>
      </c>
      <c r="BU6" s="3"/>
      <c r="BV6" s="3"/>
      <c r="BW6" s="3"/>
      <c r="BX6" s="3"/>
      <c r="BY6" s="3"/>
      <c r="BZ6" s="3"/>
      <c r="CA6" s="3" t="str">
        <f>"Semaine "&amp;(CA8-($C$5-WEEKDAY($C$5,1)+2))/7+1</f>
        <v>Semaine 11</v>
      </c>
      <c r="CB6" s="3"/>
      <c r="CC6" s="3"/>
      <c r="CD6" s="3"/>
      <c r="CE6" s="3"/>
      <c r="CF6" s="3"/>
      <c r="CG6" s="3"/>
      <c r="CH6" s="3" t="str">
        <f>"Semaine "&amp;(CH8-($C$5-WEEKDAY($C$5,1)+2))/7+1</f>
        <v>Semaine 12</v>
      </c>
      <c r="CI6" s="3"/>
      <c r="CJ6" s="3"/>
      <c r="CK6" s="3"/>
      <c r="CL6" s="3"/>
      <c r="CM6" s="3"/>
      <c r="CN6" s="3"/>
      <c r="CO6" s="3" t="str">
        <f>"Semaine "&amp;(CO8-($C$5-WEEKDAY($C$5,1)+2))/7+1</f>
        <v>Semaine 13</v>
      </c>
      <c r="CP6" s="3"/>
      <c r="CQ6" s="3"/>
      <c r="CR6" s="3"/>
      <c r="CS6" s="3"/>
      <c r="CT6" s="3"/>
      <c r="CU6" s="3"/>
      <c r="CV6" s="3" t="str">
        <f>"Semaine "&amp;(CV8-($C$5-WEEKDAY($C$5,1)+2))/7+1</f>
        <v>Semaine 14</v>
      </c>
      <c r="CW6" s="3"/>
      <c r="CX6" s="3"/>
      <c r="CY6" s="3"/>
      <c r="CZ6" s="3"/>
      <c r="DA6" s="3"/>
      <c r="DB6" s="3"/>
      <c r="DC6" s="3" t="str">
        <f>"Semaine "&amp;(DC8-($C$5-WEEKDAY($C$5,1)+2))/7+1</f>
        <v>Semaine 15</v>
      </c>
      <c r="DD6" s="3"/>
      <c r="DE6" s="3"/>
      <c r="DF6" s="3"/>
      <c r="DG6" s="3"/>
      <c r="DH6" s="3"/>
      <c r="DI6" s="3"/>
      <c r="DJ6" s="3" t="str">
        <f>"Semaine "&amp;(DJ8-($C$5-WEEKDAY($C$5,1)+2))/7+1</f>
        <v>Semaine 16</v>
      </c>
      <c r="DK6" s="3"/>
      <c r="DL6" s="3"/>
      <c r="DM6" s="3"/>
      <c r="DN6" s="3"/>
      <c r="DO6" s="3"/>
      <c r="DP6" s="3"/>
      <c r="DQ6" s="3" t="str">
        <f>"Semaine "&amp;(DQ8-($C$5-WEEKDAY($C$5,1)+2))/7+1</f>
        <v>Semaine 17</v>
      </c>
      <c r="DR6" s="3"/>
      <c r="DS6" s="3"/>
      <c r="DT6" s="3"/>
      <c r="DU6" s="3"/>
      <c r="DV6" s="3"/>
      <c r="DW6" s="3"/>
      <c r="DX6" s="3" t="str">
        <f>"Semaine "&amp;(DX8-($C$5-WEEKDAY($C$5,1)+2))/7+1</f>
        <v>Semaine 18</v>
      </c>
      <c r="DY6" s="3"/>
      <c r="DZ6" s="3"/>
      <c r="EA6" s="3"/>
      <c r="EB6" s="3"/>
      <c r="EC6" s="3"/>
      <c r="ED6" s="3"/>
      <c r="EE6" s="3" t="str">
        <f>"Semaine "&amp;(EE8-($C$5-WEEKDAY($C$5,1)+2))/7+1</f>
        <v>Semaine 19</v>
      </c>
      <c r="EF6" s="3"/>
      <c r="EG6" s="3"/>
      <c r="EH6" s="3"/>
      <c r="EI6" s="3"/>
      <c r="EJ6" s="3"/>
      <c r="EK6" s="3"/>
      <c r="EL6" s="3" t="str">
        <f>"Semaine "&amp;(EL8-($C$5-WEEKDAY($C$5,1)+2))/7+1</f>
        <v>Semaine 20</v>
      </c>
      <c r="EM6" s="3"/>
      <c r="EN6" s="3"/>
      <c r="EO6" s="3"/>
      <c r="EP6" s="3"/>
      <c r="EQ6" s="3"/>
      <c r="ER6" s="3"/>
      <c r="ES6" s="3" t="str">
        <f>"Semaine "&amp;(ES8-($C$5-WEEKDAY($C$5,1)+2))/7+1</f>
        <v>Semaine 21</v>
      </c>
      <c r="ET6" s="3"/>
      <c r="EU6" s="3"/>
      <c r="EV6" s="3"/>
      <c r="EW6" s="3"/>
      <c r="EX6" s="3"/>
      <c r="EY6" s="3"/>
      <c r="EZ6" s="3" t="str">
        <f>"Semaine "&amp;(EZ8-($C$5-WEEKDAY($C$5,1)+2))/7+1</f>
        <v>Semaine 22</v>
      </c>
      <c r="FA6" s="3"/>
      <c r="FB6" s="3"/>
      <c r="FC6" s="3"/>
      <c r="FD6" s="3"/>
      <c r="FE6" s="3"/>
      <c r="FF6" s="3"/>
      <c r="FG6" s="3" t="str">
        <f>"Semaine "&amp;(FG8-($C$5-WEEKDAY($C$5,1)+2))/7+1</f>
        <v>Semaine 23</v>
      </c>
      <c r="FH6" s="3"/>
      <c r="FI6" s="3"/>
      <c r="FJ6" s="3"/>
      <c r="FK6" s="3"/>
      <c r="FL6" s="3"/>
      <c r="FM6" s="3"/>
    </row>
    <row r="7" spans="1:169" x14ac:dyDescent="0.25">
      <c r="B7" s="23" t="s">
        <v>19</v>
      </c>
      <c r="C7" s="31" t="s">
        <v>20</v>
      </c>
      <c r="D7" s="32"/>
      <c r="G7" s="8"/>
      <c r="H7" s="30"/>
      <c r="I7" s="2">
        <f>I8</f>
        <v>45712</v>
      </c>
      <c r="J7" s="2"/>
      <c r="K7" s="2"/>
      <c r="L7" s="2"/>
      <c r="M7" s="2"/>
      <c r="N7" s="2"/>
      <c r="O7" s="2"/>
      <c r="P7" s="1">
        <f>P8</f>
        <v>45719</v>
      </c>
      <c r="Q7" s="1"/>
      <c r="R7" s="1"/>
      <c r="S7" s="1"/>
      <c r="T7" s="1"/>
      <c r="U7" s="1"/>
      <c r="V7" s="1"/>
      <c r="W7" s="1">
        <f>W8</f>
        <v>45726</v>
      </c>
      <c r="X7" s="1"/>
      <c r="Y7" s="1"/>
      <c r="Z7" s="1"/>
      <c r="AA7" s="1"/>
      <c r="AB7" s="1"/>
      <c r="AC7" s="1"/>
      <c r="AD7" s="1">
        <f>AD8</f>
        <v>45733</v>
      </c>
      <c r="AE7" s="1"/>
      <c r="AF7" s="1"/>
      <c r="AG7" s="1"/>
      <c r="AH7" s="1"/>
      <c r="AI7" s="1"/>
      <c r="AJ7" s="1"/>
      <c r="AK7" s="1">
        <f>AK8</f>
        <v>45740</v>
      </c>
      <c r="AL7" s="1"/>
      <c r="AM7" s="1"/>
      <c r="AN7" s="1"/>
      <c r="AO7" s="1"/>
      <c r="AP7" s="1"/>
      <c r="AQ7" s="1"/>
      <c r="AR7" s="1">
        <f>AR8</f>
        <v>45747</v>
      </c>
      <c r="AS7" s="1"/>
      <c r="AT7" s="1"/>
      <c r="AU7" s="1"/>
      <c r="AV7" s="1"/>
      <c r="AW7" s="1"/>
      <c r="AX7" s="1"/>
      <c r="AY7" s="1">
        <f>AY8</f>
        <v>45754</v>
      </c>
      <c r="AZ7" s="1"/>
      <c r="BA7" s="1"/>
      <c r="BB7" s="1"/>
      <c r="BC7" s="1"/>
      <c r="BD7" s="1"/>
      <c r="BE7" s="1"/>
      <c r="BF7" s="1">
        <f>BF8</f>
        <v>45761</v>
      </c>
      <c r="BG7" s="1"/>
      <c r="BH7" s="1"/>
      <c r="BI7" s="1"/>
      <c r="BJ7" s="1"/>
      <c r="BK7" s="1"/>
      <c r="BL7" s="1"/>
      <c r="BM7" s="1">
        <f>BM8</f>
        <v>45768</v>
      </c>
      <c r="BN7" s="1"/>
      <c r="BO7" s="1"/>
      <c r="BP7" s="1"/>
      <c r="BQ7" s="1"/>
      <c r="BR7" s="1"/>
      <c r="BS7" s="1"/>
      <c r="BT7" s="1">
        <f>BT8</f>
        <v>45775</v>
      </c>
      <c r="BU7" s="1"/>
      <c r="BV7" s="1"/>
      <c r="BW7" s="1"/>
      <c r="BX7" s="1"/>
      <c r="BY7" s="1"/>
      <c r="BZ7" s="1"/>
      <c r="CA7" s="1">
        <f>CA8</f>
        <v>45782</v>
      </c>
      <c r="CB7" s="1"/>
      <c r="CC7" s="1"/>
      <c r="CD7" s="1"/>
      <c r="CE7" s="1"/>
      <c r="CF7" s="1"/>
      <c r="CG7" s="1"/>
      <c r="CH7" s="1">
        <f>CH8</f>
        <v>45789</v>
      </c>
      <c r="CI7" s="1"/>
      <c r="CJ7" s="1"/>
      <c r="CK7" s="1"/>
      <c r="CL7" s="1"/>
      <c r="CM7" s="1"/>
      <c r="CN7" s="1"/>
      <c r="CO7" s="1">
        <f>CO8</f>
        <v>45796</v>
      </c>
      <c r="CP7" s="1"/>
      <c r="CQ7" s="1"/>
      <c r="CR7" s="1"/>
      <c r="CS7" s="1"/>
      <c r="CT7" s="1"/>
      <c r="CU7" s="1"/>
      <c r="CV7" s="1">
        <f>CV8</f>
        <v>45803</v>
      </c>
      <c r="CW7" s="1"/>
      <c r="CX7" s="1"/>
      <c r="CY7" s="1"/>
      <c r="CZ7" s="1"/>
      <c r="DA7" s="1"/>
      <c r="DB7" s="1"/>
      <c r="DC7" s="1">
        <f>DC8</f>
        <v>45810</v>
      </c>
      <c r="DD7" s="1"/>
      <c r="DE7" s="1"/>
      <c r="DF7" s="1"/>
      <c r="DG7" s="1"/>
      <c r="DH7" s="1"/>
      <c r="DI7" s="1"/>
      <c r="DJ7" s="1">
        <f>DJ8</f>
        <v>45817</v>
      </c>
      <c r="DK7" s="1"/>
      <c r="DL7" s="1"/>
      <c r="DM7" s="1"/>
      <c r="DN7" s="1"/>
      <c r="DO7" s="1"/>
      <c r="DP7" s="1"/>
      <c r="DQ7" s="1">
        <f>DQ8</f>
        <v>45824</v>
      </c>
      <c r="DR7" s="1"/>
      <c r="DS7" s="1"/>
      <c r="DT7" s="1"/>
      <c r="DU7" s="1"/>
      <c r="DV7" s="1"/>
      <c r="DW7" s="1"/>
      <c r="DX7" s="1">
        <f>DX8</f>
        <v>45831</v>
      </c>
      <c r="DY7" s="1"/>
      <c r="DZ7" s="1"/>
      <c r="EA7" s="1"/>
      <c r="EB7" s="1"/>
      <c r="EC7" s="1"/>
      <c r="ED7" s="1"/>
      <c r="EE7" s="1">
        <f>EE8</f>
        <v>45838</v>
      </c>
      <c r="EF7" s="1"/>
      <c r="EG7" s="1"/>
      <c r="EH7" s="1"/>
      <c r="EI7" s="1"/>
      <c r="EJ7" s="1"/>
      <c r="EK7" s="1"/>
      <c r="EL7" s="1">
        <f>EL8</f>
        <v>45845</v>
      </c>
      <c r="EM7" s="1"/>
      <c r="EN7" s="1"/>
      <c r="EO7" s="1"/>
      <c r="EP7" s="1"/>
      <c r="EQ7" s="1"/>
      <c r="ER7" s="1"/>
      <c r="ES7" s="1">
        <f>ES8</f>
        <v>45852</v>
      </c>
      <c r="ET7" s="1"/>
      <c r="EU7" s="1"/>
      <c r="EV7" s="1"/>
      <c r="EW7" s="1"/>
      <c r="EX7" s="1"/>
      <c r="EY7" s="1"/>
      <c r="EZ7" s="1">
        <f>EZ8</f>
        <v>45859</v>
      </c>
      <c r="FA7" s="1"/>
      <c r="FB7" s="1"/>
      <c r="FC7" s="1"/>
      <c r="FD7" s="1"/>
      <c r="FE7" s="1"/>
      <c r="FF7" s="1"/>
      <c r="FG7" s="1">
        <f>FG8</f>
        <v>45866</v>
      </c>
      <c r="FH7" s="1"/>
      <c r="FI7" s="1"/>
      <c r="FJ7" s="1"/>
      <c r="FK7" s="1"/>
      <c r="FL7" s="1"/>
      <c r="FM7" s="1"/>
    </row>
    <row r="8" spans="1:169" x14ac:dyDescent="0.25">
      <c r="G8" s="33"/>
      <c r="H8" s="30"/>
      <c r="I8" s="34">
        <f>C5-WEEKDAY(C5,1)+2+7*(G5-1)</f>
        <v>45712</v>
      </c>
      <c r="J8" s="35">
        <f t="shared" ref="J8:AO8" si="0">I8+1</f>
        <v>45713</v>
      </c>
      <c r="K8" s="35">
        <f t="shared" si="0"/>
        <v>45714</v>
      </c>
      <c r="L8" s="35">
        <f t="shared" si="0"/>
        <v>45715</v>
      </c>
      <c r="M8" s="35">
        <f t="shared" si="0"/>
        <v>45716</v>
      </c>
      <c r="N8" s="35">
        <f t="shared" si="0"/>
        <v>45717</v>
      </c>
      <c r="O8" s="35">
        <f t="shared" si="0"/>
        <v>45718</v>
      </c>
      <c r="P8" s="35">
        <f t="shared" si="0"/>
        <v>45719</v>
      </c>
      <c r="Q8" s="35">
        <f t="shared" si="0"/>
        <v>45720</v>
      </c>
      <c r="R8" s="35">
        <f t="shared" si="0"/>
        <v>45721</v>
      </c>
      <c r="S8" s="35">
        <f t="shared" si="0"/>
        <v>45722</v>
      </c>
      <c r="T8" s="35">
        <f t="shared" si="0"/>
        <v>45723</v>
      </c>
      <c r="U8" s="35">
        <f t="shared" si="0"/>
        <v>45724</v>
      </c>
      <c r="V8" s="35">
        <f t="shared" si="0"/>
        <v>45725</v>
      </c>
      <c r="W8" s="35">
        <f t="shared" si="0"/>
        <v>45726</v>
      </c>
      <c r="X8" s="35">
        <f t="shared" si="0"/>
        <v>45727</v>
      </c>
      <c r="Y8" s="35">
        <f t="shared" si="0"/>
        <v>45728</v>
      </c>
      <c r="Z8" s="35">
        <f t="shared" si="0"/>
        <v>45729</v>
      </c>
      <c r="AA8" s="35">
        <f t="shared" si="0"/>
        <v>45730</v>
      </c>
      <c r="AB8" s="35">
        <f t="shared" si="0"/>
        <v>45731</v>
      </c>
      <c r="AC8" s="35">
        <f t="shared" si="0"/>
        <v>45732</v>
      </c>
      <c r="AD8" s="35">
        <f t="shared" si="0"/>
        <v>45733</v>
      </c>
      <c r="AE8" s="35">
        <f t="shared" si="0"/>
        <v>45734</v>
      </c>
      <c r="AF8" s="35">
        <f t="shared" si="0"/>
        <v>45735</v>
      </c>
      <c r="AG8" s="35">
        <f t="shared" si="0"/>
        <v>45736</v>
      </c>
      <c r="AH8" s="35">
        <f t="shared" si="0"/>
        <v>45737</v>
      </c>
      <c r="AI8" s="35">
        <f t="shared" si="0"/>
        <v>45738</v>
      </c>
      <c r="AJ8" s="35">
        <f t="shared" si="0"/>
        <v>45739</v>
      </c>
      <c r="AK8" s="35">
        <f t="shared" si="0"/>
        <v>45740</v>
      </c>
      <c r="AL8" s="35">
        <f t="shared" si="0"/>
        <v>45741</v>
      </c>
      <c r="AM8" s="35">
        <f t="shared" si="0"/>
        <v>45742</v>
      </c>
      <c r="AN8" s="35">
        <f t="shared" si="0"/>
        <v>45743</v>
      </c>
      <c r="AO8" s="35">
        <f t="shared" si="0"/>
        <v>45744</v>
      </c>
      <c r="AP8" s="35">
        <f t="shared" ref="AP8:BU8" si="1">AO8+1</f>
        <v>45745</v>
      </c>
      <c r="AQ8" s="35">
        <f t="shared" si="1"/>
        <v>45746</v>
      </c>
      <c r="AR8" s="35">
        <f t="shared" si="1"/>
        <v>45747</v>
      </c>
      <c r="AS8" s="35">
        <f t="shared" si="1"/>
        <v>45748</v>
      </c>
      <c r="AT8" s="35">
        <f t="shared" si="1"/>
        <v>45749</v>
      </c>
      <c r="AU8" s="35">
        <f t="shared" si="1"/>
        <v>45750</v>
      </c>
      <c r="AV8" s="35">
        <f t="shared" si="1"/>
        <v>45751</v>
      </c>
      <c r="AW8" s="35">
        <f t="shared" si="1"/>
        <v>45752</v>
      </c>
      <c r="AX8" s="35">
        <f t="shared" si="1"/>
        <v>45753</v>
      </c>
      <c r="AY8" s="35">
        <f t="shared" si="1"/>
        <v>45754</v>
      </c>
      <c r="AZ8" s="35">
        <f t="shared" si="1"/>
        <v>45755</v>
      </c>
      <c r="BA8" s="35">
        <f t="shared" si="1"/>
        <v>45756</v>
      </c>
      <c r="BB8" s="35">
        <f t="shared" si="1"/>
        <v>45757</v>
      </c>
      <c r="BC8" s="35">
        <f t="shared" si="1"/>
        <v>45758</v>
      </c>
      <c r="BD8" s="35">
        <f t="shared" si="1"/>
        <v>45759</v>
      </c>
      <c r="BE8" s="35">
        <f t="shared" si="1"/>
        <v>45760</v>
      </c>
      <c r="BF8" s="35">
        <f t="shared" si="1"/>
        <v>45761</v>
      </c>
      <c r="BG8" s="35">
        <f t="shared" si="1"/>
        <v>45762</v>
      </c>
      <c r="BH8" s="35">
        <f t="shared" si="1"/>
        <v>45763</v>
      </c>
      <c r="BI8" s="35">
        <f t="shared" si="1"/>
        <v>45764</v>
      </c>
      <c r="BJ8" s="35">
        <f t="shared" si="1"/>
        <v>45765</v>
      </c>
      <c r="BK8" s="35">
        <f t="shared" si="1"/>
        <v>45766</v>
      </c>
      <c r="BL8" s="35">
        <f t="shared" si="1"/>
        <v>45767</v>
      </c>
      <c r="BM8" s="35">
        <f t="shared" si="1"/>
        <v>45768</v>
      </c>
      <c r="BN8" s="35">
        <f t="shared" si="1"/>
        <v>45769</v>
      </c>
      <c r="BO8" s="35">
        <f t="shared" si="1"/>
        <v>45770</v>
      </c>
      <c r="BP8" s="35">
        <f t="shared" si="1"/>
        <v>45771</v>
      </c>
      <c r="BQ8" s="35">
        <f t="shared" si="1"/>
        <v>45772</v>
      </c>
      <c r="BR8" s="35">
        <f t="shared" si="1"/>
        <v>45773</v>
      </c>
      <c r="BS8" s="35">
        <f t="shared" si="1"/>
        <v>45774</v>
      </c>
      <c r="BT8" s="35">
        <f t="shared" si="1"/>
        <v>45775</v>
      </c>
      <c r="BU8" s="35">
        <f t="shared" si="1"/>
        <v>45776</v>
      </c>
      <c r="BV8" s="35">
        <f t="shared" ref="BV8:DA8" si="2">BU8+1</f>
        <v>45777</v>
      </c>
      <c r="BW8" s="35">
        <f t="shared" si="2"/>
        <v>45778</v>
      </c>
      <c r="BX8" s="35">
        <f t="shared" si="2"/>
        <v>45779</v>
      </c>
      <c r="BY8" s="35">
        <f t="shared" si="2"/>
        <v>45780</v>
      </c>
      <c r="BZ8" s="35">
        <f t="shared" si="2"/>
        <v>45781</v>
      </c>
      <c r="CA8" s="35">
        <f t="shared" si="2"/>
        <v>45782</v>
      </c>
      <c r="CB8" s="35">
        <f t="shared" si="2"/>
        <v>45783</v>
      </c>
      <c r="CC8" s="35">
        <f t="shared" si="2"/>
        <v>45784</v>
      </c>
      <c r="CD8" s="35">
        <f t="shared" si="2"/>
        <v>45785</v>
      </c>
      <c r="CE8" s="35">
        <f t="shared" si="2"/>
        <v>45786</v>
      </c>
      <c r="CF8" s="35">
        <f t="shared" si="2"/>
        <v>45787</v>
      </c>
      <c r="CG8" s="35">
        <f t="shared" si="2"/>
        <v>45788</v>
      </c>
      <c r="CH8" s="35">
        <f t="shared" si="2"/>
        <v>45789</v>
      </c>
      <c r="CI8" s="35">
        <f t="shared" si="2"/>
        <v>45790</v>
      </c>
      <c r="CJ8" s="35">
        <f t="shared" si="2"/>
        <v>45791</v>
      </c>
      <c r="CK8" s="35">
        <f t="shared" si="2"/>
        <v>45792</v>
      </c>
      <c r="CL8" s="35">
        <f t="shared" si="2"/>
        <v>45793</v>
      </c>
      <c r="CM8" s="35">
        <f t="shared" si="2"/>
        <v>45794</v>
      </c>
      <c r="CN8" s="35">
        <f t="shared" si="2"/>
        <v>45795</v>
      </c>
      <c r="CO8" s="35">
        <f t="shared" si="2"/>
        <v>45796</v>
      </c>
      <c r="CP8" s="35">
        <f t="shared" si="2"/>
        <v>45797</v>
      </c>
      <c r="CQ8" s="35">
        <f t="shared" si="2"/>
        <v>45798</v>
      </c>
      <c r="CR8" s="35">
        <f t="shared" si="2"/>
        <v>45799</v>
      </c>
      <c r="CS8" s="35">
        <f t="shared" si="2"/>
        <v>45800</v>
      </c>
      <c r="CT8" s="35">
        <f t="shared" si="2"/>
        <v>45801</v>
      </c>
      <c r="CU8" s="35">
        <f t="shared" si="2"/>
        <v>45802</v>
      </c>
      <c r="CV8" s="35">
        <f t="shared" si="2"/>
        <v>45803</v>
      </c>
      <c r="CW8" s="35">
        <f t="shared" si="2"/>
        <v>45804</v>
      </c>
      <c r="CX8" s="35">
        <f t="shared" si="2"/>
        <v>45805</v>
      </c>
      <c r="CY8" s="35">
        <f t="shared" si="2"/>
        <v>45806</v>
      </c>
      <c r="CZ8" s="35">
        <f t="shared" si="2"/>
        <v>45807</v>
      </c>
      <c r="DA8" s="35">
        <f t="shared" si="2"/>
        <v>45808</v>
      </c>
      <c r="DB8" s="35">
        <f t="shared" ref="DB8:EG8" si="3">DA8+1</f>
        <v>45809</v>
      </c>
      <c r="DC8" s="35">
        <f t="shared" si="3"/>
        <v>45810</v>
      </c>
      <c r="DD8" s="35">
        <f t="shared" si="3"/>
        <v>45811</v>
      </c>
      <c r="DE8" s="35">
        <f t="shared" si="3"/>
        <v>45812</v>
      </c>
      <c r="DF8" s="35">
        <f t="shared" si="3"/>
        <v>45813</v>
      </c>
      <c r="DG8" s="35">
        <f t="shared" si="3"/>
        <v>45814</v>
      </c>
      <c r="DH8" s="35">
        <f t="shared" si="3"/>
        <v>45815</v>
      </c>
      <c r="DI8" s="35">
        <f t="shared" si="3"/>
        <v>45816</v>
      </c>
      <c r="DJ8" s="35">
        <f t="shared" si="3"/>
        <v>45817</v>
      </c>
      <c r="DK8" s="35">
        <f t="shared" si="3"/>
        <v>45818</v>
      </c>
      <c r="DL8" s="35">
        <f t="shared" si="3"/>
        <v>45819</v>
      </c>
      <c r="DM8" s="35">
        <f t="shared" si="3"/>
        <v>45820</v>
      </c>
      <c r="DN8" s="35">
        <f t="shared" si="3"/>
        <v>45821</v>
      </c>
      <c r="DO8" s="35">
        <f t="shared" si="3"/>
        <v>45822</v>
      </c>
      <c r="DP8" s="35">
        <f t="shared" si="3"/>
        <v>45823</v>
      </c>
      <c r="DQ8" s="35">
        <f t="shared" si="3"/>
        <v>45824</v>
      </c>
      <c r="DR8" s="35">
        <f t="shared" si="3"/>
        <v>45825</v>
      </c>
      <c r="DS8" s="35">
        <f t="shared" si="3"/>
        <v>45826</v>
      </c>
      <c r="DT8" s="35">
        <f t="shared" si="3"/>
        <v>45827</v>
      </c>
      <c r="DU8" s="35">
        <f t="shared" si="3"/>
        <v>45828</v>
      </c>
      <c r="DV8" s="35">
        <f t="shared" si="3"/>
        <v>45829</v>
      </c>
      <c r="DW8" s="35">
        <f t="shared" si="3"/>
        <v>45830</v>
      </c>
      <c r="DX8" s="35">
        <f t="shared" si="3"/>
        <v>45831</v>
      </c>
      <c r="DY8" s="35">
        <f t="shared" si="3"/>
        <v>45832</v>
      </c>
      <c r="DZ8" s="35">
        <f t="shared" si="3"/>
        <v>45833</v>
      </c>
      <c r="EA8" s="35">
        <f t="shared" si="3"/>
        <v>45834</v>
      </c>
      <c r="EB8" s="35">
        <f t="shared" si="3"/>
        <v>45835</v>
      </c>
      <c r="EC8" s="35">
        <f t="shared" si="3"/>
        <v>45836</v>
      </c>
      <c r="ED8" s="35">
        <f t="shared" si="3"/>
        <v>45837</v>
      </c>
      <c r="EE8" s="35">
        <f t="shared" si="3"/>
        <v>45838</v>
      </c>
      <c r="EF8" s="35">
        <f t="shared" si="3"/>
        <v>45839</v>
      </c>
      <c r="EG8" s="35">
        <f t="shared" si="3"/>
        <v>45840</v>
      </c>
      <c r="EH8" s="35">
        <f t="shared" ref="EH8:FM8" si="4">EG8+1</f>
        <v>45841</v>
      </c>
      <c r="EI8" s="35">
        <f t="shared" si="4"/>
        <v>45842</v>
      </c>
      <c r="EJ8" s="35">
        <f t="shared" si="4"/>
        <v>45843</v>
      </c>
      <c r="EK8" s="35">
        <f t="shared" si="4"/>
        <v>45844</v>
      </c>
      <c r="EL8" s="35">
        <f t="shared" si="4"/>
        <v>45845</v>
      </c>
      <c r="EM8" s="35">
        <f t="shared" si="4"/>
        <v>45846</v>
      </c>
      <c r="EN8" s="35">
        <f t="shared" si="4"/>
        <v>45847</v>
      </c>
      <c r="EO8" s="35">
        <f t="shared" si="4"/>
        <v>45848</v>
      </c>
      <c r="EP8" s="35">
        <f t="shared" si="4"/>
        <v>45849</v>
      </c>
      <c r="EQ8" s="35">
        <f t="shared" si="4"/>
        <v>45850</v>
      </c>
      <c r="ER8" s="35">
        <f t="shared" si="4"/>
        <v>45851</v>
      </c>
      <c r="ES8" s="35">
        <f t="shared" si="4"/>
        <v>45852</v>
      </c>
      <c r="ET8" s="35">
        <f t="shared" si="4"/>
        <v>45853</v>
      </c>
      <c r="EU8" s="35">
        <f t="shared" si="4"/>
        <v>45854</v>
      </c>
      <c r="EV8" s="35">
        <f t="shared" si="4"/>
        <v>45855</v>
      </c>
      <c r="EW8" s="35">
        <f t="shared" si="4"/>
        <v>45856</v>
      </c>
      <c r="EX8" s="35">
        <f t="shared" si="4"/>
        <v>45857</v>
      </c>
      <c r="EY8" s="35">
        <f t="shared" si="4"/>
        <v>45858</v>
      </c>
      <c r="EZ8" s="35">
        <f t="shared" si="4"/>
        <v>45859</v>
      </c>
      <c r="FA8" s="35">
        <f t="shared" si="4"/>
        <v>45860</v>
      </c>
      <c r="FB8" s="35">
        <f t="shared" si="4"/>
        <v>45861</v>
      </c>
      <c r="FC8" s="35">
        <f t="shared" si="4"/>
        <v>45862</v>
      </c>
      <c r="FD8" s="35">
        <f t="shared" si="4"/>
        <v>45863</v>
      </c>
      <c r="FE8" s="35">
        <f t="shared" si="4"/>
        <v>45864</v>
      </c>
      <c r="FF8" s="35">
        <f t="shared" si="4"/>
        <v>45865</v>
      </c>
      <c r="FG8" s="35">
        <f t="shared" si="4"/>
        <v>45866</v>
      </c>
      <c r="FH8" s="35">
        <f t="shared" si="4"/>
        <v>45867</v>
      </c>
      <c r="FI8" s="35">
        <f t="shared" si="4"/>
        <v>45868</v>
      </c>
      <c r="FJ8" s="35">
        <f t="shared" si="4"/>
        <v>45869</v>
      </c>
      <c r="FK8" s="35">
        <f t="shared" si="4"/>
        <v>45870</v>
      </c>
      <c r="FL8" s="35">
        <f t="shared" si="4"/>
        <v>45871</v>
      </c>
      <c r="FM8" s="35">
        <f t="shared" si="4"/>
        <v>45872</v>
      </c>
    </row>
    <row r="9" spans="1:169" ht="15.6" x14ac:dyDescent="0.3">
      <c r="A9" s="36" t="s">
        <v>21</v>
      </c>
      <c r="B9" s="36" t="s">
        <v>22</v>
      </c>
      <c r="C9" s="36" t="s">
        <v>23</v>
      </c>
      <c r="D9" s="36" t="s">
        <v>24</v>
      </c>
      <c r="E9" s="36" t="s">
        <v>25</v>
      </c>
      <c r="F9" s="36" t="s">
        <v>26</v>
      </c>
      <c r="G9" s="37" t="s">
        <v>27</v>
      </c>
      <c r="H9" s="38" t="s">
        <v>28</v>
      </c>
      <c r="I9" s="39" t="str">
        <f t="shared" ref="I9:AN9" si="5">CHOOSE(WEEKDAY(I8,1),"Di","Lu","Ma","Me","Je","Ve","Sa")</f>
        <v>Lu</v>
      </c>
      <c r="J9" s="39" t="str">
        <f t="shared" si="5"/>
        <v>Ma</v>
      </c>
      <c r="K9" s="39" t="str">
        <f t="shared" si="5"/>
        <v>Me</v>
      </c>
      <c r="L9" s="39" t="str">
        <f t="shared" si="5"/>
        <v>Je</v>
      </c>
      <c r="M9" s="39" t="str">
        <f t="shared" si="5"/>
        <v>Ve</v>
      </c>
      <c r="N9" s="39" t="str">
        <f t="shared" si="5"/>
        <v>Sa</v>
      </c>
      <c r="O9" s="39" t="str">
        <f t="shared" si="5"/>
        <v>Di</v>
      </c>
      <c r="P9" s="39" t="str">
        <f t="shared" si="5"/>
        <v>Lu</v>
      </c>
      <c r="Q9" s="39" t="str">
        <f t="shared" si="5"/>
        <v>Ma</v>
      </c>
      <c r="R9" s="39" t="str">
        <f t="shared" si="5"/>
        <v>Me</v>
      </c>
      <c r="S9" s="39" t="str">
        <f t="shared" si="5"/>
        <v>Je</v>
      </c>
      <c r="T9" s="39" t="str">
        <f t="shared" si="5"/>
        <v>Ve</v>
      </c>
      <c r="U9" s="39" t="str">
        <f t="shared" si="5"/>
        <v>Sa</v>
      </c>
      <c r="V9" s="39" t="str">
        <f t="shared" si="5"/>
        <v>Di</v>
      </c>
      <c r="W9" s="39" t="str">
        <f t="shared" si="5"/>
        <v>Lu</v>
      </c>
      <c r="X9" s="39" t="str">
        <f t="shared" si="5"/>
        <v>Ma</v>
      </c>
      <c r="Y9" s="39" t="str">
        <f t="shared" si="5"/>
        <v>Me</v>
      </c>
      <c r="Z9" s="39" t="str">
        <f t="shared" si="5"/>
        <v>Je</v>
      </c>
      <c r="AA9" s="39" t="str">
        <f t="shared" si="5"/>
        <v>Ve</v>
      </c>
      <c r="AB9" s="39" t="str">
        <f t="shared" si="5"/>
        <v>Sa</v>
      </c>
      <c r="AC9" s="39" t="str">
        <f t="shared" si="5"/>
        <v>Di</v>
      </c>
      <c r="AD9" s="39" t="str">
        <f t="shared" si="5"/>
        <v>Lu</v>
      </c>
      <c r="AE9" s="39" t="str">
        <f t="shared" si="5"/>
        <v>Ma</v>
      </c>
      <c r="AF9" s="39" t="str">
        <f t="shared" si="5"/>
        <v>Me</v>
      </c>
      <c r="AG9" s="39" t="str">
        <f t="shared" si="5"/>
        <v>Je</v>
      </c>
      <c r="AH9" s="39" t="str">
        <f t="shared" si="5"/>
        <v>Ve</v>
      </c>
      <c r="AI9" s="39" t="str">
        <f t="shared" si="5"/>
        <v>Sa</v>
      </c>
      <c r="AJ9" s="39" t="str">
        <f t="shared" si="5"/>
        <v>Di</v>
      </c>
      <c r="AK9" s="39" t="str">
        <f t="shared" si="5"/>
        <v>Lu</v>
      </c>
      <c r="AL9" s="39" t="str">
        <f t="shared" si="5"/>
        <v>Ma</v>
      </c>
      <c r="AM9" s="39" t="str">
        <f t="shared" si="5"/>
        <v>Me</v>
      </c>
      <c r="AN9" s="39" t="str">
        <f t="shared" si="5"/>
        <v>Je</v>
      </c>
      <c r="AO9" s="39" t="str">
        <f t="shared" ref="AO9:BT9" si="6">CHOOSE(WEEKDAY(AO8,1),"Di","Lu","Ma","Me","Je","Ve","Sa")</f>
        <v>Ve</v>
      </c>
      <c r="AP9" s="39" t="str">
        <f t="shared" si="6"/>
        <v>Sa</v>
      </c>
      <c r="AQ9" s="39" t="str">
        <f t="shared" si="6"/>
        <v>Di</v>
      </c>
      <c r="AR9" s="39" t="str">
        <f t="shared" si="6"/>
        <v>Lu</v>
      </c>
      <c r="AS9" s="39" t="str">
        <f t="shared" si="6"/>
        <v>Ma</v>
      </c>
      <c r="AT9" s="39" t="str">
        <f t="shared" si="6"/>
        <v>Me</v>
      </c>
      <c r="AU9" s="39" t="str">
        <f t="shared" si="6"/>
        <v>Je</v>
      </c>
      <c r="AV9" s="39" t="str">
        <f t="shared" si="6"/>
        <v>Ve</v>
      </c>
      <c r="AW9" s="39" t="str">
        <f t="shared" si="6"/>
        <v>Sa</v>
      </c>
      <c r="AX9" s="39" t="str">
        <f t="shared" si="6"/>
        <v>Di</v>
      </c>
      <c r="AY9" s="39" t="str">
        <f t="shared" si="6"/>
        <v>Lu</v>
      </c>
      <c r="AZ9" s="39" t="str">
        <f t="shared" si="6"/>
        <v>Ma</v>
      </c>
      <c r="BA9" s="39" t="str">
        <f t="shared" si="6"/>
        <v>Me</v>
      </c>
      <c r="BB9" s="39" t="str">
        <f t="shared" si="6"/>
        <v>Je</v>
      </c>
      <c r="BC9" s="39" t="str">
        <f t="shared" si="6"/>
        <v>Ve</v>
      </c>
      <c r="BD9" s="39" t="str">
        <f t="shared" si="6"/>
        <v>Sa</v>
      </c>
      <c r="BE9" s="39" t="str">
        <f t="shared" si="6"/>
        <v>Di</v>
      </c>
      <c r="BF9" s="39" t="str">
        <f t="shared" si="6"/>
        <v>Lu</v>
      </c>
      <c r="BG9" s="39" t="str">
        <f t="shared" si="6"/>
        <v>Ma</v>
      </c>
      <c r="BH9" s="39" t="str">
        <f t="shared" si="6"/>
        <v>Me</v>
      </c>
      <c r="BI9" s="39" t="str">
        <f t="shared" si="6"/>
        <v>Je</v>
      </c>
      <c r="BJ9" s="39" t="str">
        <f t="shared" si="6"/>
        <v>Ve</v>
      </c>
      <c r="BK9" s="39" t="str">
        <f t="shared" si="6"/>
        <v>Sa</v>
      </c>
      <c r="BL9" s="39" t="str">
        <f t="shared" si="6"/>
        <v>Di</v>
      </c>
      <c r="BM9" s="39" t="str">
        <f t="shared" si="6"/>
        <v>Lu</v>
      </c>
      <c r="BN9" s="39" t="str">
        <f t="shared" si="6"/>
        <v>Ma</v>
      </c>
      <c r="BO9" s="39" t="str">
        <f t="shared" si="6"/>
        <v>Me</v>
      </c>
      <c r="BP9" s="39" t="str">
        <f t="shared" si="6"/>
        <v>Je</v>
      </c>
      <c r="BQ9" s="39" t="str">
        <f t="shared" si="6"/>
        <v>Ve</v>
      </c>
      <c r="BR9" s="39" t="str">
        <f t="shared" si="6"/>
        <v>Sa</v>
      </c>
      <c r="BS9" s="39" t="str">
        <f t="shared" si="6"/>
        <v>Di</v>
      </c>
      <c r="BT9" s="39" t="str">
        <f t="shared" si="6"/>
        <v>Lu</v>
      </c>
      <c r="BU9" s="39" t="str">
        <f t="shared" ref="BU9:CZ9" si="7">CHOOSE(WEEKDAY(BU8,1),"Di","Lu","Ma","Me","Je","Ve","Sa")</f>
        <v>Ma</v>
      </c>
      <c r="BV9" s="39" t="str">
        <f t="shared" si="7"/>
        <v>Me</v>
      </c>
      <c r="BW9" s="39" t="str">
        <f t="shared" si="7"/>
        <v>Je</v>
      </c>
      <c r="BX9" s="39" t="str">
        <f t="shared" si="7"/>
        <v>Ve</v>
      </c>
      <c r="BY9" s="39" t="str">
        <f t="shared" si="7"/>
        <v>Sa</v>
      </c>
      <c r="BZ9" s="39" t="str">
        <f t="shared" si="7"/>
        <v>Di</v>
      </c>
      <c r="CA9" s="39" t="str">
        <f t="shared" si="7"/>
        <v>Lu</v>
      </c>
      <c r="CB9" s="39" t="str">
        <f t="shared" si="7"/>
        <v>Ma</v>
      </c>
      <c r="CC9" s="39" t="str">
        <f t="shared" si="7"/>
        <v>Me</v>
      </c>
      <c r="CD9" s="39" t="str">
        <f t="shared" si="7"/>
        <v>Je</v>
      </c>
      <c r="CE9" s="39" t="str">
        <f t="shared" si="7"/>
        <v>Ve</v>
      </c>
      <c r="CF9" s="39" t="str">
        <f t="shared" si="7"/>
        <v>Sa</v>
      </c>
      <c r="CG9" s="39" t="str">
        <f t="shared" si="7"/>
        <v>Di</v>
      </c>
      <c r="CH9" s="39" t="str">
        <f t="shared" si="7"/>
        <v>Lu</v>
      </c>
      <c r="CI9" s="39" t="str">
        <f t="shared" si="7"/>
        <v>Ma</v>
      </c>
      <c r="CJ9" s="39" t="str">
        <f t="shared" si="7"/>
        <v>Me</v>
      </c>
      <c r="CK9" s="39" t="str">
        <f t="shared" si="7"/>
        <v>Je</v>
      </c>
      <c r="CL9" s="39" t="str">
        <f t="shared" si="7"/>
        <v>Ve</v>
      </c>
      <c r="CM9" s="39" t="str">
        <f t="shared" si="7"/>
        <v>Sa</v>
      </c>
      <c r="CN9" s="39" t="str">
        <f t="shared" si="7"/>
        <v>Di</v>
      </c>
      <c r="CO9" s="39" t="str">
        <f t="shared" si="7"/>
        <v>Lu</v>
      </c>
      <c r="CP9" s="39" t="str">
        <f t="shared" si="7"/>
        <v>Ma</v>
      </c>
      <c r="CQ9" s="39" t="str">
        <f t="shared" si="7"/>
        <v>Me</v>
      </c>
      <c r="CR9" s="39" t="str">
        <f t="shared" si="7"/>
        <v>Je</v>
      </c>
      <c r="CS9" s="39" t="str">
        <f t="shared" si="7"/>
        <v>Ve</v>
      </c>
      <c r="CT9" s="39" t="str">
        <f t="shared" si="7"/>
        <v>Sa</v>
      </c>
      <c r="CU9" s="39" t="str">
        <f t="shared" si="7"/>
        <v>Di</v>
      </c>
      <c r="CV9" s="39" t="str">
        <f t="shared" si="7"/>
        <v>Lu</v>
      </c>
      <c r="CW9" s="39" t="str">
        <f t="shared" si="7"/>
        <v>Ma</v>
      </c>
      <c r="CX9" s="39" t="str">
        <f t="shared" si="7"/>
        <v>Me</v>
      </c>
      <c r="CY9" s="39" t="str">
        <f t="shared" si="7"/>
        <v>Je</v>
      </c>
      <c r="CZ9" s="39" t="str">
        <f t="shared" si="7"/>
        <v>Ve</v>
      </c>
      <c r="DA9" s="39" t="str">
        <f t="shared" ref="DA9:EF9" si="8">CHOOSE(WEEKDAY(DA8,1),"Di","Lu","Ma","Me","Je","Ve","Sa")</f>
        <v>Sa</v>
      </c>
      <c r="DB9" s="39" t="str">
        <f t="shared" si="8"/>
        <v>Di</v>
      </c>
      <c r="DC9" s="39" t="str">
        <f t="shared" si="8"/>
        <v>Lu</v>
      </c>
      <c r="DD9" s="39" t="str">
        <f t="shared" si="8"/>
        <v>Ma</v>
      </c>
      <c r="DE9" s="39" t="str">
        <f t="shared" si="8"/>
        <v>Me</v>
      </c>
      <c r="DF9" s="39" t="str">
        <f t="shared" si="8"/>
        <v>Je</v>
      </c>
      <c r="DG9" s="39" t="str">
        <f t="shared" si="8"/>
        <v>Ve</v>
      </c>
      <c r="DH9" s="39" t="str">
        <f t="shared" si="8"/>
        <v>Sa</v>
      </c>
      <c r="DI9" s="39" t="str">
        <f t="shared" si="8"/>
        <v>Di</v>
      </c>
      <c r="DJ9" s="39" t="str">
        <f t="shared" si="8"/>
        <v>Lu</v>
      </c>
      <c r="DK9" s="39" t="str">
        <f t="shared" si="8"/>
        <v>Ma</v>
      </c>
      <c r="DL9" s="39" t="str">
        <f t="shared" si="8"/>
        <v>Me</v>
      </c>
      <c r="DM9" s="39" t="str">
        <f t="shared" si="8"/>
        <v>Je</v>
      </c>
      <c r="DN9" s="39" t="str">
        <f t="shared" si="8"/>
        <v>Ve</v>
      </c>
      <c r="DO9" s="39" t="str">
        <f t="shared" si="8"/>
        <v>Sa</v>
      </c>
      <c r="DP9" s="39" t="str">
        <f t="shared" si="8"/>
        <v>Di</v>
      </c>
      <c r="DQ9" s="39" t="str">
        <f t="shared" si="8"/>
        <v>Lu</v>
      </c>
      <c r="DR9" s="39" t="str">
        <f t="shared" si="8"/>
        <v>Ma</v>
      </c>
      <c r="DS9" s="39" t="str">
        <f t="shared" si="8"/>
        <v>Me</v>
      </c>
      <c r="DT9" s="39" t="str">
        <f t="shared" si="8"/>
        <v>Je</v>
      </c>
      <c r="DU9" s="39" t="str">
        <f t="shared" si="8"/>
        <v>Ve</v>
      </c>
      <c r="DV9" s="39" t="str">
        <f t="shared" si="8"/>
        <v>Sa</v>
      </c>
      <c r="DW9" s="39" t="str">
        <f t="shared" si="8"/>
        <v>Di</v>
      </c>
      <c r="DX9" s="39" t="str">
        <f t="shared" si="8"/>
        <v>Lu</v>
      </c>
      <c r="DY9" s="39" t="str">
        <f t="shared" si="8"/>
        <v>Ma</v>
      </c>
      <c r="DZ9" s="39" t="str">
        <f t="shared" si="8"/>
        <v>Me</v>
      </c>
      <c r="EA9" s="39" t="str">
        <f t="shared" si="8"/>
        <v>Je</v>
      </c>
      <c r="EB9" s="39" t="str">
        <f t="shared" si="8"/>
        <v>Ve</v>
      </c>
      <c r="EC9" s="39" t="str">
        <f t="shared" si="8"/>
        <v>Sa</v>
      </c>
      <c r="ED9" s="39" t="str">
        <f t="shared" si="8"/>
        <v>Di</v>
      </c>
      <c r="EE9" s="39" t="str">
        <f t="shared" si="8"/>
        <v>Lu</v>
      </c>
      <c r="EF9" s="39" t="str">
        <f t="shared" si="8"/>
        <v>Ma</v>
      </c>
      <c r="EG9" s="39" t="str">
        <f t="shared" ref="EG9:FL9" si="9">CHOOSE(WEEKDAY(EG8,1),"Di","Lu","Ma","Me","Je","Ve","Sa")</f>
        <v>Me</v>
      </c>
      <c r="EH9" s="39" t="str">
        <f t="shared" si="9"/>
        <v>Je</v>
      </c>
      <c r="EI9" s="39" t="str">
        <f t="shared" si="9"/>
        <v>Ve</v>
      </c>
      <c r="EJ9" s="39" t="str">
        <f t="shared" si="9"/>
        <v>Sa</v>
      </c>
      <c r="EK9" s="39" t="str">
        <f t="shared" si="9"/>
        <v>Di</v>
      </c>
      <c r="EL9" s="39" t="str">
        <f t="shared" si="9"/>
        <v>Lu</v>
      </c>
      <c r="EM9" s="39" t="str">
        <f t="shared" si="9"/>
        <v>Ma</v>
      </c>
      <c r="EN9" s="39" t="str">
        <f t="shared" si="9"/>
        <v>Me</v>
      </c>
      <c r="EO9" s="39" t="str">
        <f t="shared" si="9"/>
        <v>Je</v>
      </c>
      <c r="EP9" s="39" t="str">
        <f t="shared" si="9"/>
        <v>Ve</v>
      </c>
      <c r="EQ9" s="39" t="str">
        <f t="shared" si="9"/>
        <v>Sa</v>
      </c>
      <c r="ER9" s="39" t="str">
        <f t="shared" si="9"/>
        <v>Di</v>
      </c>
      <c r="ES9" s="39" t="str">
        <f t="shared" si="9"/>
        <v>Lu</v>
      </c>
      <c r="ET9" s="39" t="str">
        <f t="shared" si="9"/>
        <v>Ma</v>
      </c>
      <c r="EU9" s="39" t="str">
        <f t="shared" si="9"/>
        <v>Me</v>
      </c>
      <c r="EV9" s="39" t="str">
        <f t="shared" si="9"/>
        <v>Je</v>
      </c>
      <c r="EW9" s="39" t="str">
        <f t="shared" si="9"/>
        <v>Ve</v>
      </c>
      <c r="EX9" s="39" t="str">
        <f t="shared" si="9"/>
        <v>Sa</v>
      </c>
      <c r="EY9" s="39" t="str">
        <f t="shared" si="9"/>
        <v>Di</v>
      </c>
      <c r="EZ9" s="39" t="str">
        <f t="shared" si="9"/>
        <v>Lu</v>
      </c>
      <c r="FA9" s="39" t="str">
        <f t="shared" si="9"/>
        <v>Ma</v>
      </c>
      <c r="FB9" s="39" t="str">
        <f t="shared" si="9"/>
        <v>Me</v>
      </c>
      <c r="FC9" s="39" t="str">
        <f t="shared" si="9"/>
        <v>Je</v>
      </c>
      <c r="FD9" s="39" t="str">
        <f t="shared" si="9"/>
        <v>Ve</v>
      </c>
      <c r="FE9" s="39" t="str">
        <f t="shared" si="9"/>
        <v>Sa</v>
      </c>
      <c r="FF9" s="39" t="str">
        <f t="shared" si="9"/>
        <v>Di</v>
      </c>
      <c r="FG9" s="39" t="str">
        <f t="shared" si="9"/>
        <v>Lu</v>
      </c>
      <c r="FH9" s="39" t="str">
        <f t="shared" si="9"/>
        <v>Ma</v>
      </c>
      <c r="FI9" s="39" t="str">
        <f t="shared" si="9"/>
        <v>Me</v>
      </c>
      <c r="FJ9" s="39" t="str">
        <f t="shared" si="9"/>
        <v>Je</v>
      </c>
      <c r="FK9" s="39" t="str">
        <f t="shared" si="9"/>
        <v>Ve</v>
      </c>
      <c r="FL9" s="39" t="str">
        <f t="shared" si="9"/>
        <v>Sa</v>
      </c>
      <c r="FM9" s="39" t="str">
        <f t="shared" ref="FM9:GR9" si="10">CHOOSE(WEEKDAY(FM8,1),"Di","Lu","Ma","Me","Je","Ve","Sa")</f>
        <v>Di</v>
      </c>
    </row>
    <row r="10" spans="1:169" s="48" customFormat="1" ht="15.6" x14ac:dyDescent="0.3">
      <c r="A10" s="40" t="s">
        <v>29</v>
      </c>
      <c r="B10" s="41" t="s">
        <v>30</v>
      </c>
      <c r="C10" s="42"/>
      <c r="D10" s="42"/>
      <c r="E10" s="43"/>
      <c r="F10" s="40"/>
      <c r="G10" s="44"/>
      <c r="H10" s="45">
        <f>SUMIF(A11:A14,A10&amp;"*",H11:H25)/(COUNTIF(A10:A25,A10&amp;".*"))</f>
        <v>1</v>
      </c>
      <c r="I10" s="46"/>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c r="BM10" s="47"/>
      <c r="BN10" s="47"/>
      <c r="BO10" s="47"/>
      <c r="BP10" s="47"/>
      <c r="BQ10" s="47"/>
      <c r="BR10" s="47"/>
      <c r="BS10" s="47"/>
      <c r="BT10" s="47"/>
      <c r="BU10" s="47"/>
      <c r="BV10" s="47"/>
      <c r="BW10" s="47"/>
      <c r="BX10" s="47"/>
      <c r="BY10" s="47"/>
      <c r="BZ10" s="47"/>
      <c r="CA10" s="47"/>
      <c r="CB10" s="47"/>
      <c r="CC10" s="47"/>
      <c r="CD10" s="47"/>
      <c r="CE10" s="47"/>
      <c r="CF10" s="47"/>
      <c r="CG10" s="47"/>
      <c r="CH10" s="47"/>
      <c r="CI10" s="47"/>
      <c r="CJ10" s="47"/>
      <c r="CK10" s="47"/>
      <c r="CL10" s="47"/>
      <c r="CM10" s="47"/>
      <c r="CN10" s="47"/>
      <c r="CO10" s="47"/>
      <c r="CP10" s="47"/>
      <c r="CQ10" s="47"/>
      <c r="CR10" s="47"/>
      <c r="CS10" s="47"/>
      <c r="CT10" s="47"/>
      <c r="CU10" s="47"/>
      <c r="CV10" s="47"/>
      <c r="CW10" s="47"/>
      <c r="CX10" s="47"/>
      <c r="CY10" s="47"/>
      <c r="CZ10" s="47"/>
      <c r="DA10" s="47"/>
      <c r="DB10" s="47"/>
      <c r="DC10" s="47"/>
      <c r="DD10" s="47"/>
      <c r="DE10" s="47"/>
      <c r="DF10" s="47"/>
      <c r="DG10" s="47"/>
      <c r="DH10" s="47"/>
      <c r="DI10" s="47"/>
      <c r="DJ10" s="47"/>
      <c r="DK10" s="47"/>
      <c r="DL10" s="47"/>
      <c r="DM10" s="47"/>
      <c r="DN10" s="47"/>
      <c r="DO10" s="47"/>
      <c r="DP10" s="47"/>
      <c r="DQ10" s="47"/>
      <c r="DR10" s="47"/>
      <c r="DS10" s="47"/>
      <c r="DT10" s="47"/>
      <c r="DU10" s="47"/>
      <c r="DV10" s="47"/>
      <c r="DW10" s="47"/>
      <c r="DX10" s="47"/>
      <c r="DY10" s="47"/>
      <c r="DZ10" s="47"/>
      <c r="EA10" s="47"/>
      <c r="EB10" s="47"/>
      <c r="EC10" s="47"/>
      <c r="ED10" s="47"/>
      <c r="EE10" s="47"/>
      <c r="EF10" s="47"/>
      <c r="EG10" s="47"/>
      <c r="EH10" s="47"/>
      <c r="EI10" s="47"/>
      <c r="EJ10" s="47"/>
      <c r="EK10" s="47"/>
      <c r="EL10" s="47"/>
      <c r="EM10" s="47"/>
      <c r="EN10" s="47"/>
      <c r="EO10" s="47"/>
      <c r="EP10" s="47"/>
      <c r="EQ10" s="47"/>
      <c r="ER10" s="47"/>
      <c r="ES10" s="47"/>
      <c r="ET10" s="47"/>
      <c r="EU10" s="47"/>
      <c r="EV10" s="47"/>
      <c r="EW10" s="47"/>
      <c r="EX10" s="47"/>
      <c r="EY10" s="47"/>
      <c r="EZ10" s="47"/>
      <c r="FA10" s="47"/>
      <c r="FB10" s="47"/>
      <c r="FC10" s="47"/>
      <c r="FD10" s="47"/>
      <c r="FE10" s="47"/>
      <c r="FF10" s="47"/>
      <c r="FG10" s="47"/>
      <c r="FH10" s="47"/>
      <c r="FI10" s="47"/>
      <c r="FJ10" s="47"/>
      <c r="FK10" s="47"/>
      <c r="FL10" s="47"/>
      <c r="FM10" s="47"/>
    </row>
    <row r="11" spans="1:169" x14ac:dyDescent="0.25">
      <c r="A11" s="49" t="s">
        <v>31</v>
      </c>
      <c r="B11" s="50" t="s">
        <v>32</v>
      </c>
      <c r="C11" s="51" t="s">
        <v>13</v>
      </c>
      <c r="D11" s="50" t="s">
        <v>33</v>
      </c>
      <c r="E11" s="17">
        <v>45719</v>
      </c>
      <c r="F11" s="51">
        <v>20</v>
      </c>
      <c r="G11" s="52"/>
      <c r="H11" s="53">
        <v>1</v>
      </c>
      <c r="I11" s="46"/>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c r="BM11" s="47"/>
      <c r="BN11" s="47"/>
      <c r="BO11" s="47"/>
      <c r="BP11" s="47"/>
      <c r="BQ11" s="47"/>
      <c r="BR11" s="47"/>
      <c r="BS11" s="47"/>
      <c r="BT11" s="47"/>
      <c r="BU11" s="47"/>
      <c r="BV11" s="47"/>
      <c r="BW11" s="47"/>
      <c r="BX11" s="47"/>
      <c r="BY11" s="47"/>
      <c r="BZ11" s="47"/>
      <c r="CA11" s="47"/>
      <c r="CB11" s="47"/>
      <c r="CC11" s="47"/>
      <c r="CD11" s="47"/>
      <c r="CE11" s="47"/>
      <c r="CF11" s="47"/>
      <c r="CG11" s="47"/>
      <c r="CH11" s="47"/>
      <c r="CI11" s="47"/>
      <c r="CJ11" s="47"/>
      <c r="CK11" s="47"/>
      <c r="CL11" s="47"/>
      <c r="CM11" s="47"/>
      <c r="CN11" s="47"/>
      <c r="CO11" s="47"/>
      <c r="CP11" s="47"/>
      <c r="CQ11" s="47"/>
      <c r="CR11" s="47"/>
      <c r="CS11" s="47"/>
      <c r="CT11" s="47"/>
      <c r="CU11" s="47"/>
      <c r="CV11" s="47"/>
      <c r="CW11" s="47"/>
      <c r="CX11" s="47"/>
      <c r="CY11" s="47"/>
      <c r="CZ11" s="47"/>
      <c r="DA11" s="47"/>
      <c r="DB11" s="47"/>
      <c r="DC11" s="47"/>
      <c r="DD11" s="47"/>
      <c r="DE11" s="47"/>
      <c r="DF11" s="47"/>
      <c r="DG11" s="47"/>
      <c r="DH11" s="47"/>
      <c r="DI11" s="47"/>
      <c r="DJ11" s="47"/>
      <c r="DK11" s="47"/>
      <c r="DL11" s="47"/>
      <c r="DM11" s="47"/>
      <c r="DN11" s="47"/>
      <c r="DO11" s="47"/>
      <c r="DP11" s="47"/>
      <c r="DQ11" s="47"/>
      <c r="DR11" s="47"/>
      <c r="DS11" s="47"/>
      <c r="DT11" s="47"/>
      <c r="DU11" s="47"/>
      <c r="DV11" s="47"/>
      <c r="DW11" s="47"/>
      <c r="DX11" s="47"/>
      <c r="DY11" s="47"/>
      <c r="DZ11" s="47"/>
      <c r="EA11" s="47"/>
      <c r="EB11" s="47"/>
      <c r="EC11" s="47"/>
      <c r="ED11" s="47"/>
      <c r="EE11" s="47"/>
      <c r="EF11" s="47"/>
      <c r="EG11" s="47"/>
      <c r="EH11" s="47"/>
      <c r="EI11" s="47"/>
      <c r="EJ11" s="47"/>
      <c r="EK11" s="47"/>
      <c r="EL11" s="47"/>
      <c r="EM11" s="47"/>
      <c r="EN11" s="47"/>
      <c r="EO11" s="47"/>
      <c r="EP11" s="47"/>
      <c r="EQ11" s="47"/>
      <c r="ER11" s="47"/>
      <c r="ES11" s="47"/>
      <c r="ET11" s="47"/>
      <c r="EU11" s="47"/>
      <c r="EV11" s="47"/>
      <c r="EW11" s="47"/>
      <c r="EX11" s="47"/>
      <c r="EY11" s="47"/>
      <c r="EZ11" s="47"/>
      <c r="FA11" s="47"/>
      <c r="FB11" s="47"/>
      <c r="FC11" s="47"/>
      <c r="FD11" s="47"/>
      <c r="FE11" s="47"/>
      <c r="FF11" s="47"/>
      <c r="FG11" s="47"/>
      <c r="FH11" s="47"/>
      <c r="FI11" s="47"/>
      <c r="FJ11" s="47"/>
      <c r="FK11" s="47"/>
      <c r="FL11" s="47"/>
      <c r="FM11" s="47"/>
    </row>
    <row r="12" spans="1:169" x14ac:dyDescent="0.25">
      <c r="A12" s="49" t="s">
        <v>34</v>
      </c>
      <c r="B12" s="51" t="s">
        <v>35</v>
      </c>
      <c r="C12" s="51" t="s">
        <v>13</v>
      </c>
      <c r="D12" s="51" t="s">
        <v>36</v>
      </c>
      <c r="E12" s="17">
        <v>45719</v>
      </c>
      <c r="F12" s="51">
        <v>60</v>
      </c>
      <c r="G12" s="52"/>
      <c r="H12" s="53">
        <v>1</v>
      </c>
      <c r="I12" s="46"/>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7"/>
      <c r="BJ12" s="47"/>
      <c r="BK12" s="47"/>
      <c r="BL12" s="47"/>
      <c r="BM12" s="47"/>
      <c r="BN12" s="47"/>
      <c r="BO12" s="47"/>
      <c r="BP12" s="47"/>
      <c r="BQ12" s="47"/>
      <c r="BR12" s="47"/>
      <c r="BS12" s="47"/>
      <c r="BT12" s="47"/>
      <c r="BU12" s="47"/>
      <c r="BV12" s="47"/>
      <c r="BW12" s="47"/>
      <c r="BX12" s="47"/>
      <c r="BY12" s="47"/>
      <c r="BZ12" s="47"/>
      <c r="CA12" s="47"/>
      <c r="CB12" s="47"/>
      <c r="CC12" s="47"/>
      <c r="CD12" s="47"/>
      <c r="CE12" s="47"/>
      <c r="CF12" s="47"/>
      <c r="CG12" s="47"/>
      <c r="CH12" s="47"/>
      <c r="CI12" s="47"/>
      <c r="CJ12" s="47"/>
      <c r="CK12" s="47"/>
      <c r="CL12" s="47"/>
      <c r="CM12" s="47"/>
      <c r="CN12" s="47"/>
      <c r="CO12" s="47"/>
      <c r="CP12" s="47"/>
      <c r="CQ12" s="47"/>
      <c r="CR12" s="47"/>
      <c r="CS12" s="47"/>
      <c r="CT12" s="47"/>
      <c r="CU12" s="47"/>
      <c r="CV12" s="47"/>
      <c r="CW12" s="47"/>
      <c r="CX12" s="47"/>
      <c r="CY12" s="47"/>
      <c r="CZ12" s="47"/>
      <c r="DA12" s="47"/>
      <c r="DB12" s="47"/>
      <c r="DC12" s="47"/>
      <c r="DD12" s="47"/>
      <c r="DE12" s="47"/>
      <c r="DF12" s="47"/>
      <c r="DG12" s="47"/>
      <c r="DH12" s="47"/>
      <c r="DI12" s="47"/>
      <c r="DJ12" s="47"/>
      <c r="DK12" s="47"/>
      <c r="DL12" s="47"/>
      <c r="DM12" s="47"/>
      <c r="DN12" s="47"/>
      <c r="DO12" s="47"/>
      <c r="DP12" s="47"/>
      <c r="DQ12" s="47"/>
      <c r="DR12" s="47"/>
      <c r="DS12" s="47"/>
      <c r="DT12" s="47"/>
      <c r="DU12" s="47"/>
      <c r="DV12" s="47"/>
      <c r="DW12" s="47"/>
      <c r="DX12" s="47"/>
      <c r="DY12" s="47"/>
      <c r="DZ12" s="47"/>
      <c r="EA12" s="47"/>
      <c r="EB12" s="47"/>
      <c r="EC12" s="47"/>
      <c r="ED12" s="47"/>
      <c r="EE12" s="47"/>
      <c r="EF12" s="47"/>
      <c r="EG12" s="47"/>
      <c r="EH12" s="47"/>
      <c r="EI12" s="47"/>
      <c r="EJ12" s="47"/>
      <c r="EK12" s="47"/>
      <c r="EL12" s="47"/>
      <c r="EM12" s="47"/>
      <c r="EN12" s="47"/>
      <c r="EO12" s="47"/>
      <c r="EP12" s="47"/>
      <c r="EQ12" s="47"/>
      <c r="ER12" s="47"/>
      <c r="ES12" s="47"/>
      <c r="ET12" s="47"/>
      <c r="EU12" s="47"/>
      <c r="EV12" s="47"/>
      <c r="EW12" s="47"/>
      <c r="EX12" s="47"/>
      <c r="EY12" s="47"/>
      <c r="EZ12" s="47"/>
      <c r="FA12" s="47"/>
      <c r="FB12" s="47"/>
      <c r="FC12" s="47"/>
      <c r="FD12" s="47"/>
      <c r="FE12" s="47"/>
      <c r="FF12" s="47"/>
      <c r="FG12" s="47"/>
      <c r="FH12" s="47"/>
      <c r="FI12" s="47"/>
      <c r="FJ12" s="47"/>
      <c r="FK12" s="47"/>
      <c r="FL12" s="47"/>
      <c r="FM12" s="47"/>
    </row>
    <row r="13" spans="1:169" s="48" customFormat="1" ht="15.6" x14ac:dyDescent="0.3">
      <c r="A13" s="54">
        <v>2</v>
      </c>
      <c r="B13" s="41" t="s">
        <v>37</v>
      </c>
      <c r="C13" s="42"/>
      <c r="D13" s="42"/>
      <c r="E13" s="43"/>
      <c r="F13" s="40"/>
      <c r="G13" s="44"/>
      <c r="H13" s="45">
        <f>SUMIF(A14:A22,A13&amp;"*",H14:H29)/(COUNTIF(A13:A29,A13&amp;".*"))</f>
        <v>1</v>
      </c>
      <c r="I13" s="46"/>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c r="BM13" s="47"/>
      <c r="BN13" s="47"/>
      <c r="BO13" s="47"/>
      <c r="BP13" s="47"/>
      <c r="BQ13" s="47"/>
      <c r="BR13" s="47"/>
      <c r="BS13" s="47"/>
      <c r="BT13" s="47"/>
      <c r="BU13" s="47"/>
      <c r="BV13" s="47"/>
      <c r="BW13" s="47"/>
      <c r="BX13" s="47"/>
      <c r="BY13" s="47"/>
      <c r="BZ13" s="47"/>
      <c r="CA13" s="47"/>
      <c r="CB13" s="47"/>
      <c r="CC13" s="47"/>
      <c r="CD13" s="47"/>
      <c r="CE13" s="47"/>
      <c r="CF13" s="47"/>
      <c r="CG13" s="47"/>
      <c r="CH13" s="47"/>
      <c r="CI13" s="47"/>
      <c r="CJ13" s="47"/>
      <c r="CK13" s="47"/>
      <c r="CL13" s="47"/>
      <c r="CM13" s="47"/>
      <c r="CN13" s="47"/>
      <c r="CO13" s="47"/>
      <c r="CP13" s="47"/>
      <c r="CQ13" s="47"/>
      <c r="CR13" s="47"/>
      <c r="CS13" s="47"/>
      <c r="CT13" s="47"/>
      <c r="CU13" s="47"/>
      <c r="CV13" s="47"/>
      <c r="CW13" s="47"/>
      <c r="CX13" s="47"/>
      <c r="CY13" s="47"/>
      <c r="CZ13" s="47"/>
      <c r="DA13" s="47"/>
      <c r="DB13" s="47"/>
      <c r="DC13" s="47"/>
      <c r="DD13" s="47"/>
      <c r="DE13" s="47"/>
      <c r="DF13" s="47"/>
      <c r="DG13" s="47"/>
      <c r="DH13" s="47"/>
      <c r="DI13" s="47"/>
      <c r="DJ13" s="47"/>
      <c r="DK13" s="47"/>
      <c r="DL13" s="47"/>
      <c r="DM13" s="47"/>
      <c r="DN13" s="47"/>
      <c r="DO13" s="47"/>
      <c r="DP13" s="47"/>
      <c r="DQ13" s="47"/>
      <c r="DR13" s="47"/>
      <c r="DS13" s="47"/>
      <c r="DT13" s="47"/>
      <c r="DU13" s="47"/>
      <c r="DV13" s="47"/>
      <c r="DW13" s="47"/>
      <c r="DX13" s="47"/>
      <c r="DY13" s="47"/>
      <c r="DZ13" s="47"/>
      <c r="EA13" s="47"/>
      <c r="EB13" s="47"/>
      <c r="EC13" s="47"/>
      <c r="ED13" s="47"/>
      <c r="EE13" s="47"/>
      <c r="EF13" s="47"/>
      <c r="EG13" s="47"/>
      <c r="EH13" s="47"/>
      <c r="EI13" s="47"/>
      <c r="EJ13" s="47"/>
      <c r="EK13" s="47"/>
      <c r="EL13" s="47"/>
      <c r="EM13" s="47"/>
      <c r="EN13" s="47"/>
      <c r="EO13" s="47"/>
      <c r="EP13" s="47"/>
      <c r="EQ13" s="47"/>
      <c r="ER13" s="47"/>
      <c r="ES13" s="47"/>
      <c r="ET13" s="47"/>
      <c r="EU13" s="47"/>
      <c r="EV13" s="47"/>
      <c r="EW13" s="47"/>
      <c r="EX13" s="47"/>
      <c r="EY13" s="47"/>
      <c r="EZ13" s="47"/>
      <c r="FA13" s="47"/>
      <c r="FB13" s="47"/>
      <c r="FC13" s="47"/>
      <c r="FD13" s="47"/>
      <c r="FE13" s="47"/>
      <c r="FF13" s="47"/>
      <c r="FG13" s="47"/>
      <c r="FH13" s="47"/>
      <c r="FI13" s="47"/>
      <c r="FJ13" s="47"/>
      <c r="FK13" s="47"/>
      <c r="FL13" s="47"/>
      <c r="FM13" s="47"/>
    </row>
    <row r="14" spans="1:169" x14ac:dyDescent="0.25">
      <c r="A14" s="55" t="s">
        <v>38</v>
      </c>
      <c r="B14" s="51" t="s">
        <v>39</v>
      </c>
      <c r="C14" s="51" t="s">
        <v>10</v>
      </c>
      <c r="D14" s="56" t="s">
        <v>40</v>
      </c>
      <c r="E14" s="17">
        <v>45720</v>
      </c>
      <c r="F14" s="57">
        <v>120</v>
      </c>
      <c r="G14" s="58"/>
      <c r="H14" s="59">
        <v>1</v>
      </c>
      <c r="I14" s="46"/>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DP14" s="47"/>
      <c r="DQ14" s="47"/>
      <c r="DR14" s="47"/>
      <c r="DS14" s="47"/>
      <c r="DT14" s="47"/>
      <c r="DU14" s="47"/>
      <c r="DV14" s="47"/>
      <c r="DW14" s="47"/>
      <c r="DX14" s="47"/>
      <c r="DY14" s="47"/>
      <c r="DZ14" s="47"/>
      <c r="EA14" s="47"/>
      <c r="EB14" s="47"/>
      <c r="EC14" s="47"/>
      <c r="ED14" s="47"/>
      <c r="EE14" s="47"/>
      <c r="EF14" s="47"/>
      <c r="EG14" s="47"/>
      <c r="EH14" s="47"/>
      <c r="EI14" s="47"/>
      <c r="EJ14" s="47"/>
      <c r="EK14" s="47"/>
      <c r="EL14" s="47"/>
      <c r="EM14" s="47"/>
      <c r="EN14" s="47"/>
      <c r="EO14" s="47"/>
      <c r="EP14" s="47"/>
      <c r="EQ14" s="47"/>
      <c r="ER14" s="47"/>
      <c r="ES14" s="47"/>
      <c r="ET14" s="47"/>
      <c r="EU14" s="47"/>
      <c r="EV14" s="47"/>
      <c r="EW14" s="47"/>
      <c r="EX14" s="47"/>
      <c r="EY14" s="47"/>
      <c r="EZ14" s="47"/>
      <c r="FA14" s="47"/>
      <c r="FB14" s="47"/>
      <c r="FC14" s="47"/>
      <c r="FD14" s="47"/>
      <c r="FE14" s="47"/>
      <c r="FF14" s="47"/>
      <c r="FG14" s="47"/>
      <c r="FH14" s="47"/>
      <c r="FI14" s="47"/>
      <c r="FJ14" s="47"/>
      <c r="FK14" s="47"/>
      <c r="FL14" s="47"/>
      <c r="FM14" s="47"/>
    </row>
    <row r="15" spans="1:169" x14ac:dyDescent="0.25">
      <c r="A15" s="55" t="s">
        <v>41</v>
      </c>
      <c r="B15" s="60" t="s">
        <v>42</v>
      </c>
      <c r="C15" s="61" t="s">
        <v>13</v>
      </c>
      <c r="D15" s="51" t="s">
        <v>43</v>
      </c>
      <c r="E15" s="17">
        <v>45720</v>
      </c>
      <c r="F15" s="51">
        <v>60</v>
      </c>
      <c r="G15" s="52"/>
      <c r="H15" s="53">
        <v>1</v>
      </c>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47"/>
      <c r="CQ15" s="47"/>
      <c r="CR15" s="47"/>
      <c r="CS15" s="47"/>
      <c r="CT15" s="47"/>
      <c r="CU15" s="47"/>
      <c r="CV15" s="47"/>
      <c r="CW15" s="47"/>
      <c r="CX15" s="47"/>
      <c r="CY15" s="47"/>
      <c r="CZ15" s="47"/>
      <c r="DA15" s="47"/>
      <c r="DB15" s="47"/>
      <c r="DC15" s="47"/>
      <c r="DD15" s="47"/>
      <c r="DE15" s="47"/>
      <c r="DF15" s="47"/>
      <c r="DG15" s="47"/>
      <c r="DH15" s="47"/>
      <c r="DI15" s="47"/>
      <c r="DJ15" s="47"/>
      <c r="DK15" s="47"/>
      <c r="DL15" s="47"/>
      <c r="DM15" s="47"/>
      <c r="DN15" s="47"/>
      <c r="DO15" s="47"/>
      <c r="DP15" s="47"/>
      <c r="DQ15" s="47"/>
      <c r="DR15" s="47"/>
      <c r="DS15" s="47"/>
      <c r="DT15" s="47"/>
      <c r="DU15" s="47"/>
      <c r="DV15" s="47"/>
      <c r="DW15" s="47"/>
      <c r="DX15" s="47"/>
      <c r="DY15" s="47"/>
      <c r="DZ15" s="47"/>
      <c r="EA15" s="47"/>
      <c r="EB15" s="47"/>
      <c r="EC15" s="47"/>
      <c r="ED15" s="47"/>
      <c r="EE15" s="47"/>
      <c r="EF15" s="47"/>
      <c r="EG15" s="47"/>
      <c r="EH15" s="47"/>
      <c r="EI15" s="47"/>
      <c r="EJ15" s="47"/>
      <c r="EK15" s="47"/>
      <c r="EL15" s="47"/>
      <c r="EM15" s="47"/>
      <c r="EN15" s="47"/>
      <c r="EO15" s="47"/>
      <c r="EP15" s="47"/>
      <c r="EQ15" s="47"/>
      <c r="ER15" s="47"/>
      <c r="ES15" s="47"/>
      <c r="ET15" s="47"/>
      <c r="EU15" s="47"/>
      <c r="EV15" s="47"/>
      <c r="EW15" s="47"/>
      <c r="EX15" s="47"/>
      <c r="EY15" s="47"/>
      <c r="EZ15" s="47"/>
      <c r="FA15" s="47"/>
      <c r="FB15" s="47"/>
      <c r="FC15" s="47"/>
      <c r="FD15" s="47"/>
      <c r="FE15" s="47"/>
      <c r="FF15" s="47"/>
      <c r="FG15" s="47"/>
      <c r="FH15" s="47"/>
      <c r="FI15" s="47"/>
      <c r="FJ15" s="47"/>
      <c r="FK15" s="47"/>
      <c r="FL15" s="47"/>
      <c r="FM15" s="47"/>
    </row>
    <row r="16" spans="1:169" x14ac:dyDescent="0.25">
      <c r="A16" s="55" t="s">
        <v>44</v>
      </c>
      <c r="B16" s="62" t="s">
        <v>45</v>
      </c>
      <c r="C16" s="63" t="s">
        <v>13</v>
      </c>
      <c r="D16" s="51" t="s">
        <v>43</v>
      </c>
      <c r="E16" s="17">
        <v>45720</v>
      </c>
      <c r="F16" s="51">
        <v>20</v>
      </c>
      <c r="G16" s="52"/>
      <c r="H16" s="53">
        <v>1</v>
      </c>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c r="BN16" s="47"/>
      <c r="BO16" s="47"/>
      <c r="BP16" s="47"/>
      <c r="BQ16" s="47"/>
      <c r="BR16" s="47"/>
      <c r="BS16" s="47"/>
      <c r="BT16" s="47"/>
      <c r="BU16" s="47"/>
      <c r="BV16" s="47"/>
      <c r="BW16" s="47"/>
      <c r="BX16" s="47"/>
      <c r="BY16" s="47"/>
      <c r="BZ16" s="47"/>
      <c r="CA16" s="47"/>
      <c r="CB16" s="47"/>
      <c r="CC16" s="47"/>
      <c r="CD16" s="47"/>
      <c r="CE16" s="47"/>
      <c r="CF16" s="47"/>
      <c r="CG16" s="47"/>
      <c r="CH16" s="47"/>
      <c r="CI16" s="47"/>
      <c r="CJ16" s="47"/>
      <c r="CK16" s="47"/>
      <c r="CL16" s="47"/>
      <c r="CM16" s="47"/>
      <c r="CN16" s="47"/>
      <c r="CO16" s="47"/>
      <c r="CP16" s="47"/>
      <c r="CQ16" s="47"/>
      <c r="CR16" s="47"/>
      <c r="CS16" s="47"/>
      <c r="CT16" s="47"/>
      <c r="CU16" s="47"/>
      <c r="CV16" s="47"/>
      <c r="CW16" s="47"/>
      <c r="CX16" s="47"/>
      <c r="CY16" s="47"/>
      <c r="CZ16" s="47"/>
      <c r="DA16" s="47"/>
      <c r="DB16" s="47"/>
      <c r="DC16" s="47"/>
      <c r="DD16" s="47"/>
      <c r="DE16" s="47"/>
      <c r="DF16" s="47"/>
      <c r="DG16" s="47"/>
      <c r="DH16" s="47"/>
      <c r="DI16" s="47"/>
      <c r="DJ16" s="47"/>
      <c r="DK16" s="47"/>
      <c r="DL16" s="47"/>
      <c r="DM16" s="47"/>
      <c r="DN16" s="47"/>
      <c r="DO16" s="47"/>
      <c r="DP16" s="47"/>
      <c r="DQ16" s="47"/>
      <c r="DR16" s="47"/>
      <c r="DS16" s="47"/>
      <c r="DT16" s="47"/>
      <c r="DU16" s="47"/>
      <c r="DV16" s="47"/>
      <c r="DW16" s="47"/>
      <c r="DX16" s="47"/>
      <c r="DY16" s="47"/>
      <c r="DZ16" s="47"/>
      <c r="EA16" s="47"/>
      <c r="EB16" s="47"/>
      <c r="EC16" s="47"/>
      <c r="ED16" s="47"/>
      <c r="EE16" s="47"/>
      <c r="EF16" s="47"/>
      <c r="EG16" s="47"/>
      <c r="EH16" s="47"/>
      <c r="EI16" s="47"/>
      <c r="EJ16" s="47"/>
      <c r="EK16" s="47"/>
      <c r="EL16" s="47"/>
      <c r="EM16" s="47"/>
      <c r="EN16" s="47"/>
      <c r="EO16" s="47"/>
      <c r="EP16" s="47"/>
      <c r="EQ16" s="47"/>
      <c r="ER16" s="47"/>
      <c r="ES16" s="47"/>
      <c r="ET16" s="47"/>
      <c r="EU16" s="47"/>
      <c r="EV16" s="47"/>
      <c r="EW16" s="47"/>
      <c r="EX16" s="47"/>
      <c r="EY16" s="47"/>
      <c r="EZ16" s="47"/>
      <c r="FA16" s="47"/>
      <c r="FB16" s="47"/>
      <c r="FC16" s="47"/>
      <c r="FD16" s="47"/>
      <c r="FE16" s="47"/>
      <c r="FF16" s="47"/>
      <c r="FG16" s="47"/>
      <c r="FH16" s="47"/>
      <c r="FI16" s="47"/>
      <c r="FJ16" s="47"/>
      <c r="FK16" s="47"/>
      <c r="FL16" s="47"/>
      <c r="FM16" s="47"/>
    </row>
    <row r="17" spans="1:169" x14ac:dyDescent="0.25">
      <c r="A17" s="55" t="s">
        <v>46</v>
      </c>
      <c r="B17" s="64" t="s">
        <v>47</v>
      </c>
      <c r="C17" s="61" t="s">
        <v>10</v>
      </c>
      <c r="D17" s="51" t="s">
        <v>48</v>
      </c>
      <c r="E17" s="17">
        <v>45720</v>
      </c>
      <c r="F17" s="51">
        <v>2</v>
      </c>
      <c r="G17" s="52"/>
      <c r="H17" s="53">
        <v>1</v>
      </c>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c r="DA17" s="47"/>
      <c r="DB17" s="47"/>
      <c r="DC17" s="47"/>
      <c r="DD17" s="47"/>
      <c r="DE17" s="47"/>
      <c r="DF17" s="47"/>
      <c r="DG17" s="47"/>
      <c r="DH17" s="47"/>
      <c r="DI17" s="47"/>
      <c r="DJ17" s="47"/>
      <c r="DK17" s="47"/>
      <c r="DL17" s="47"/>
      <c r="DM17" s="47"/>
      <c r="DN17" s="47"/>
      <c r="DO17" s="47"/>
      <c r="DP17" s="47"/>
      <c r="DQ17" s="47"/>
      <c r="DR17" s="47"/>
      <c r="DS17" s="47"/>
      <c r="DT17" s="47"/>
      <c r="DU17" s="47"/>
      <c r="DV17" s="47"/>
      <c r="DW17" s="47"/>
      <c r="DX17" s="47"/>
      <c r="DY17" s="47"/>
      <c r="DZ17" s="47"/>
      <c r="EA17" s="47"/>
      <c r="EB17" s="47"/>
      <c r="EC17" s="47"/>
      <c r="ED17" s="47"/>
      <c r="EE17" s="47"/>
      <c r="EF17" s="47"/>
      <c r="EG17" s="47"/>
      <c r="EH17" s="47"/>
      <c r="EI17" s="47"/>
      <c r="EJ17" s="47"/>
      <c r="EK17" s="47"/>
      <c r="EL17" s="47"/>
      <c r="EM17" s="47"/>
      <c r="EN17" s="47"/>
      <c r="EO17" s="47"/>
      <c r="EP17" s="47"/>
      <c r="EQ17" s="47"/>
      <c r="ER17" s="47"/>
      <c r="ES17" s="47"/>
      <c r="ET17" s="47"/>
      <c r="EU17" s="47"/>
      <c r="EV17" s="47"/>
      <c r="EW17" s="47"/>
      <c r="EX17" s="47"/>
      <c r="EY17" s="47"/>
      <c r="EZ17" s="47"/>
      <c r="FA17" s="47"/>
      <c r="FB17" s="47"/>
      <c r="FC17" s="47"/>
      <c r="FD17" s="47"/>
      <c r="FE17" s="47"/>
      <c r="FF17" s="47"/>
      <c r="FG17" s="47"/>
      <c r="FH17" s="47"/>
      <c r="FI17" s="47"/>
      <c r="FJ17" s="47"/>
      <c r="FK17" s="47"/>
      <c r="FL17" s="47"/>
      <c r="FM17" s="47"/>
    </row>
    <row r="18" spans="1:169" s="48" customFormat="1" ht="15.6" x14ac:dyDescent="0.3">
      <c r="A18" s="54">
        <v>3</v>
      </c>
      <c r="B18" s="41" t="s">
        <v>37</v>
      </c>
      <c r="C18" s="42"/>
      <c r="D18" s="42"/>
      <c r="E18" s="43"/>
      <c r="F18" s="40"/>
      <c r="G18" s="44"/>
      <c r="H18" s="45">
        <f>SUMIF(A19:A25,A18&amp;"*",H19:H33)/(COUNTIF(A18:A33,A18&amp;".*"))</f>
        <v>1</v>
      </c>
      <c r="I18" s="46"/>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47"/>
      <c r="CS18" s="47"/>
      <c r="CT18" s="47"/>
      <c r="CU18" s="47"/>
      <c r="CV18" s="47"/>
      <c r="CW18" s="47"/>
      <c r="CX18" s="47"/>
      <c r="CY18" s="47"/>
      <c r="CZ18" s="47"/>
      <c r="DA18" s="47"/>
      <c r="DB18" s="47"/>
      <c r="DC18" s="47"/>
      <c r="DD18" s="47"/>
      <c r="DE18" s="47"/>
      <c r="DF18" s="47"/>
      <c r="DG18" s="47"/>
      <c r="DH18" s="47"/>
      <c r="DI18" s="47"/>
      <c r="DJ18" s="47"/>
      <c r="DK18" s="47"/>
      <c r="DL18" s="47"/>
      <c r="DM18" s="47"/>
      <c r="DN18" s="47"/>
      <c r="DO18" s="47"/>
      <c r="DP18" s="47"/>
      <c r="DQ18" s="47"/>
      <c r="DR18" s="47"/>
      <c r="DS18" s="47"/>
      <c r="DT18" s="47"/>
      <c r="DU18" s="47"/>
      <c r="DV18" s="47"/>
      <c r="DW18" s="47"/>
      <c r="DX18" s="47"/>
      <c r="DY18" s="47"/>
      <c r="DZ18" s="47"/>
      <c r="EA18" s="47"/>
      <c r="EB18" s="47"/>
      <c r="EC18" s="47"/>
      <c r="ED18" s="47"/>
      <c r="EE18" s="47"/>
      <c r="EF18" s="47"/>
      <c r="EG18" s="47"/>
      <c r="EH18" s="47"/>
      <c r="EI18" s="47"/>
      <c r="EJ18" s="47"/>
      <c r="EK18" s="47"/>
      <c r="EL18" s="47"/>
      <c r="EM18" s="47"/>
      <c r="EN18" s="47"/>
      <c r="EO18" s="47"/>
      <c r="EP18" s="47"/>
      <c r="EQ18" s="47"/>
      <c r="ER18" s="47"/>
      <c r="ES18" s="47"/>
      <c r="ET18" s="47"/>
      <c r="EU18" s="47"/>
      <c r="EV18" s="47"/>
      <c r="EW18" s="47"/>
      <c r="EX18" s="47"/>
      <c r="EY18" s="47"/>
      <c r="EZ18" s="47"/>
      <c r="FA18" s="47"/>
      <c r="FB18" s="47"/>
      <c r="FC18" s="47"/>
      <c r="FD18" s="47"/>
      <c r="FE18" s="47"/>
      <c r="FF18" s="47"/>
      <c r="FG18" s="47"/>
      <c r="FH18" s="47"/>
      <c r="FI18" s="47"/>
      <c r="FJ18" s="47"/>
      <c r="FK18" s="47"/>
      <c r="FL18" s="47"/>
      <c r="FM18" s="47"/>
    </row>
    <row r="19" spans="1:169" x14ac:dyDescent="0.25">
      <c r="A19" s="49" t="s">
        <v>49</v>
      </c>
      <c r="B19" s="18" t="s">
        <v>50</v>
      </c>
      <c r="C19" s="51" t="s">
        <v>13</v>
      </c>
      <c r="D19" s="51" t="s">
        <v>51</v>
      </c>
      <c r="E19" s="17">
        <v>45727</v>
      </c>
      <c r="F19" s="51">
        <v>180</v>
      </c>
      <c r="G19" s="52"/>
      <c r="H19" s="53">
        <v>1</v>
      </c>
      <c r="I19" s="46"/>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7"/>
      <c r="CF19" s="47"/>
      <c r="CG19" s="47"/>
      <c r="CH19" s="47"/>
      <c r="CI19" s="47"/>
      <c r="CJ19" s="47"/>
      <c r="CK19" s="47"/>
      <c r="CL19" s="47"/>
      <c r="CM19" s="47"/>
      <c r="CN19" s="47"/>
      <c r="CO19" s="47"/>
      <c r="CP19" s="47"/>
      <c r="CQ19" s="47"/>
      <c r="CR19" s="47"/>
      <c r="CS19" s="47"/>
      <c r="CT19" s="47"/>
      <c r="CU19" s="47"/>
      <c r="CV19" s="47"/>
      <c r="CW19" s="47"/>
      <c r="CX19" s="47"/>
      <c r="CY19" s="47"/>
      <c r="CZ19" s="47"/>
      <c r="DA19" s="47"/>
      <c r="DB19" s="47"/>
      <c r="DC19" s="47"/>
      <c r="DD19" s="47"/>
      <c r="DE19" s="47"/>
      <c r="DF19" s="47"/>
      <c r="DG19" s="47"/>
      <c r="DH19" s="47"/>
      <c r="DI19" s="47"/>
      <c r="DJ19" s="47"/>
      <c r="DK19" s="47"/>
      <c r="DL19" s="47"/>
      <c r="DM19" s="47"/>
      <c r="DN19" s="47"/>
      <c r="DO19" s="47"/>
      <c r="DP19" s="47"/>
      <c r="DQ19" s="47"/>
      <c r="DR19" s="47"/>
      <c r="DS19" s="47"/>
      <c r="DT19" s="47"/>
      <c r="DU19" s="47"/>
      <c r="DV19" s="47"/>
      <c r="DW19" s="47"/>
      <c r="DX19" s="47"/>
      <c r="DY19" s="47"/>
      <c r="DZ19" s="47"/>
      <c r="EA19" s="47"/>
      <c r="EB19" s="47"/>
      <c r="EC19" s="47"/>
      <c r="ED19" s="47"/>
      <c r="EE19" s="47"/>
      <c r="EF19" s="47"/>
      <c r="EG19" s="47"/>
      <c r="EH19" s="47"/>
      <c r="EI19" s="47"/>
      <c r="EJ19" s="47"/>
      <c r="EK19" s="47"/>
      <c r="EL19" s="47"/>
      <c r="EM19" s="47"/>
      <c r="EN19" s="47"/>
      <c r="EO19" s="47"/>
      <c r="EP19" s="47"/>
      <c r="EQ19" s="47"/>
      <c r="ER19" s="47"/>
      <c r="ES19" s="47"/>
      <c r="ET19" s="47"/>
      <c r="EU19" s="47"/>
      <c r="EV19" s="47"/>
      <c r="EW19" s="47"/>
      <c r="EX19" s="47"/>
      <c r="EY19" s="47"/>
      <c r="EZ19" s="47"/>
      <c r="FA19" s="47"/>
      <c r="FB19" s="47"/>
      <c r="FC19" s="47"/>
      <c r="FD19" s="47"/>
      <c r="FE19" s="47"/>
      <c r="FF19" s="47"/>
      <c r="FG19" s="47"/>
      <c r="FH19" s="47"/>
      <c r="FI19" s="47"/>
      <c r="FJ19" s="47"/>
      <c r="FK19" s="47"/>
      <c r="FL19" s="47"/>
      <c r="FM19" s="47"/>
    </row>
    <row r="20" spans="1:169" ht="15.6" x14ac:dyDescent="0.3">
      <c r="A20" s="49" t="s">
        <v>52</v>
      </c>
      <c r="B20" s="65" t="s">
        <v>53</v>
      </c>
      <c r="C20" s="51" t="s">
        <v>13</v>
      </c>
      <c r="D20" s="51" t="s">
        <v>54</v>
      </c>
      <c r="E20" s="17">
        <v>45727</v>
      </c>
      <c r="F20" s="51">
        <v>180</v>
      </c>
      <c r="G20" s="52"/>
      <c r="H20" s="53">
        <v>1</v>
      </c>
      <c r="I20" s="46"/>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M20" s="47"/>
      <c r="CN20" s="47"/>
      <c r="CO20" s="47"/>
      <c r="CP20" s="47"/>
      <c r="CQ20" s="47"/>
      <c r="CR20" s="47"/>
      <c r="CS20" s="47"/>
      <c r="CT20" s="47"/>
      <c r="CU20" s="47"/>
      <c r="CV20" s="47"/>
      <c r="CW20" s="47"/>
      <c r="CX20" s="47"/>
      <c r="CY20" s="47"/>
      <c r="CZ20" s="47"/>
      <c r="DA20" s="47"/>
      <c r="DB20" s="47"/>
      <c r="DC20" s="47"/>
      <c r="DD20" s="47"/>
      <c r="DE20" s="47"/>
      <c r="DF20" s="47"/>
      <c r="DG20" s="47"/>
      <c r="DH20" s="47"/>
      <c r="DI20" s="47"/>
      <c r="DJ20" s="47"/>
      <c r="DK20" s="47"/>
      <c r="DL20" s="47"/>
      <c r="DM20" s="47"/>
      <c r="DN20" s="47"/>
      <c r="DO20" s="47"/>
      <c r="DP20" s="47"/>
      <c r="DQ20" s="47"/>
      <c r="DR20" s="47"/>
      <c r="DS20" s="47"/>
      <c r="DT20" s="47"/>
      <c r="DU20" s="47"/>
      <c r="DV20" s="47"/>
      <c r="DW20" s="47"/>
      <c r="DX20" s="47"/>
      <c r="DY20" s="47"/>
      <c r="DZ20" s="47"/>
      <c r="EA20" s="47"/>
      <c r="EB20" s="47"/>
      <c r="EC20" s="47"/>
      <c r="ED20" s="47"/>
      <c r="EE20" s="47"/>
      <c r="EF20" s="47"/>
      <c r="EG20" s="47"/>
      <c r="EH20" s="47"/>
      <c r="EI20" s="47"/>
      <c r="EJ20" s="47"/>
      <c r="EK20" s="47"/>
      <c r="EL20" s="47"/>
      <c r="EM20" s="47"/>
      <c r="EN20" s="47"/>
      <c r="EO20" s="47"/>
      <c r="EP20" s="47"/>
      <c r="EQ20" s="47"/>
      <c r="ER20" s="47"/>
      <c r="ES20" s="47"/>
      <c r="ET20" s="47"/>
      <c r="EU20" s="47"/>
      <c r="EV20" s="47"/>
      <c r="EW20" s="47"/>
      <c r="EX20" s="47"/>
      <c r="EY20" s="47"/>
      <c r="EZ20" s="47"/>
      <c r="FA20" s="47"/>
      <c r="FB20" s="47"/>
      <c r="FC20" s="47"/>
      <c r="FD20" s="47"/>
      <c r="FE20" s="47"/>
      <c r="FF20" s="47"/>
      <c r="FG20" s="47"/>
      <c r="FH20" s="47"/>
      <c r="FI20" s="47"/>
      <c r="FJ20" s="47"/>
      <c r="FK20" s="47"/>
      <c r="FL20" s="47"/>
      <c r="FM20" s="47"/>
    </row>
    <row r="21" spans="1:169" ht="15.6" x14ac:dyDescent="0.3">
      <c r="A21" s="49" t="s">
        <v>55</v>
      </c>
      <c r="B21" s="66" t="s">
        <v>56</v>
      </c>
      <c r="C21" s="51" t="s">
        <v>13</v>
      </c>
      <c r="D21" s="51"/>
      <c r="E21" s="17">
        <v>45727</v>
      </c>
      <c r="F21" s="51">
        <v>60</v>
      </c>
      <c r="G21" s="52"/>
      <c r="H21" s="53">
        <v>1</v>
      </c>
      <c r="I21" s="46"/>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c r="BN21" s="47"/>
      <c r="BO21" s="47"/>
      <c r="BP21" s="47"/>
      <c r="BQ21" s="47"/>
      <c r="BR21" s="47"/>
      <c r="BS21" s="47"/>
      <c r="BT21" s="47"/>
      <c r="BU21" s="47"/>
      <c r="BV21" s="47"/>
      <c r="BW21" s="47"/>
      <c r="BX21" s="47"/>
      <c r="BY21" s="47"/>
      <c r="BZ21" s="47"/>
      <c r="CA21" s="47"/>
      <c r="CB21" s="47"/>
      <c r="CC21" s="47"/>
      <c r="CD21" s="47"/>
      <c r="CE21" s="47"/>
      <c r="CF21" s="47"/>
      <c r="CG21" s="47"/>
      <c r="CH21" s="47"/>
      <c r="CI21" s="47"/>
      <c r="CJ21" s="47"/>
      <c r="CK21" s="47"/>
      <c r="CL21" s="47"/>
      <c r="CM21" s="47"/>
      <c r="CN21" s="47"/>
      <c r="CO21" s="47"/>
      <c r="CP21" s="47"/>
      <c r="CQ21" s="47"/>
      <c r="CR21" s="47"/>
      <c r="CS21" s="47"/>
      <c r="CT21" s="47"/>
      <c r="CU21" s="47"/>
      <c r="CV21" s="47"/>
      <c r="CW21" s="47"/>
      <c r="CX21" s="47"/>
      <c r="CY21" s="47"/>
      <c r="CZ21" s="47"/>
      <c r="DA21" s="47"/>
      <c r="DB21" s="47"/>
      <c r="DC21" s="47"/>
      <c r="DD21" s="47"/>
      <c r="DE21" s="47"/>
      <c r="DF21" s="47"/>
      <c r="DG21" s="47"/>
      <c r="DH21" s="47"/>
      <c r="DI21" s="47"/>
      <c r="DJ21" s="47"/>
      <c r="DK21" s="47"/>
      <c r="DL21" s="47"/>
      <c r="DM21" s="47"/>
      <c r="DN21" s="47"/>
      <c r="DO21" s="47"/>
      <c r="DP21" s="47"/>
      <c r="DQ21" s="47"/>
      <c r="DR21" s="47"/>
      <c r="DS21" s="47"/>
      <c r="DT21" s="47"/>
      <c r="DU21" s="47"/>
      <c r="DV21" s="47"/>
      <c r="DW21" s="47"/>
      <c r="DX21" s="47"/>
      <c r="DY21" s="47"/>
      <c r="DZ21" s="47"/>
      <c r="EA21" s="47"/>
      <c r="EB21" s="47"/>
      <c r="EC21" s="47"/>
      <c r="ED21" s="47"/>
      <c r="EE21" s="47"/>
      <c r="EF21" s="47"/>
      <c r="EG21" s="47"/>
      <c r="EH21" s="47"/>
      <c r="EI21" s="47"/>
      <c r="EJ21" s="47"/>
      <c r="EK21" s="47"/>
      <c r="EL21" s="47"/>
      <c r="EM21" s="47"/>
      <c r="EN21" s="47"/>
      <c r="EO21" s="47"/>
      <c r="EP21" s="47"/>
      <c r="EQ21" s="47"/>
      <c r="ER21" s="47"/>
      <c r="ES21" s="47"/>
      <c r="ET21" s="47"/>
      <c r="EU21" s="47"/>
      <c r="EV21" s="47"/>
      <c r="EW21" s="47"/>
      <c r="EX21" s="47"/>
      <c r="EY21" s="47"/>
      <c r="EZ21" s="47"/>
      <c r="FA21" s="47"/>
      <c r="FB21" s="47"/>
      <c r="FC21" s="47"/>
      <c r="FD21" s="47"/>
      <c r="FE21" s="47"/>
      <c r="FF21" s="47"/>
      <c r="FG21" s="47"/>
      <c r="FH21" s="47"/>
      <c r="FI21" s="47"/>
      <c r="FJ21" s="47"/>
      <c r="FK21" s="47"/>
      <c r="FL21" s="47"/>
      <c r="FM21" s="47"/>
    </row>
    <row r="22" spans="1:169" ht="15.6" x14ac:dyDescent="0.3">
      <c r="A22" s="49" t="s">
        <v>57</v>
      </c>
      <c r="B22" s="66" t="s">
        <v>58</v>
      </c>
      <c r="C22" s="51" t="s">
        <v>13</v>
      </c>
      <c r="D22" s="51"/>
      <c r="E22" s="17">
        <v>45727</v>
      </c>
      <c r="F22" s="51">
        <v>60</v>
      </c>
      <c r="G22" s="52"/>
      <c r="H22" s="53">
        <v>1</v>
      </c>
      <c r="I22" s="46"/>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row>
    <row r="23" spans="1:169" s="48" customFormat="1" ht="15.6" x14ac:dyDescent="0.3">
      <c r="A23" s="54">
        <v>4</v>
      </c>
      <c r="B23" s="41" t="s">
        <v>59</v>
      </c>
      <c r="C23" s="42"/>
      <c r="D23" s="42"/>
      <c r="E23" s="43"/>
      <c r="F23" s="40"/>
      <c r="G23" s="44"/>
      <c r="H23" s="45">
        <f>SUMIF(A24:A30,A23&amp;"*",H24:H42)/(COUNTIF(A23:A42,A23&amp;".*"))</f>
        <v>1</v>
      </c>
      <c r="I23" s="46"/>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7"/>
      <c r="CD23" s="47"/>
      <c r="CE23" s="47"/>
      <c r="CF23" s="47"/>
      <c r="CG23" s="47"/>
      <c r="CH23" s="47"/>
      <c r="CI23" s="47"/>
      <c r="CJ23" s="47"/>
      <c r="CK23" s="47"/>
      <c r="CL23" s="47"/>
      <c r="CM23" s="47"/>
      <c r="CN23" s="47"/>
      <c r="CO23" s="47"/>
      <c r="CP23" s="47"/>
      <c r="CQ23" s="47"/>
      <c r="CR23" s="47"/>
      <c r="CS23" s="47"/>
      <c r="CT23" s="47"/>
      <c r="CU23" s="47"/>
      <c r="CV23" s="47"/>
      <c r="CW23" s="47"/>
      <c r="CX23" s="47"/>
      <c r="CY23" s="47"/>
      <c r="CZ23" s="47"/>
      <c r="DA23" s="47"/>
      <c r="DB23" s="47"/>
      <c r="DC23" s="47"/>
      <c r="DD23" s="47"/>
      <c r="DE23" s="47"/>
      <c r="DF23" s="47"/>
      <c r="DG23" s="47"/>
      <c r="DH23" s="47"/>
      <c r="DI23" s="47"/>
      <c r="DJ23" s="47"/>
      <c r="DK23" s="47"/>
      <c r="DL23" s="47"/>
      <c r="DM23" s="47"/>
      <c r="DN23" s="47"/>
      <c r="DO23" s="47"/>
      <c r="DP23" s="47"/>
      <c r="DQ23" s="47"/>
      <c r="DR23" s="47"/>
      <c r="DS23" s="47"/>
      <c r="DT23" s="47"/>
      <c r="DU23" s="47"/>
      <c r="DV23" s="47"/>
      <c r="DW23" s="47"/>
      <c r="DX23" s="47"/>
      <c r="DY23" s="47"/>
      <c r="DZ23" s="47"/>
      <c r="EA23" s="47"/>
      <c r="EB23" s="47"/>
      <c r="EC23" s="47"/>
      <c r="ED23" s="47"/>
      <c r="EE23" s="47"/>
      <c r="EF23" s="47"/>
      <c r="EG23" s="47"/>
      <c r="EH23" s="47"/>
      <c r="EI23" s="47"/>
      <c r="EJ23" s="47"/>
      <c r="EK23" s="47"/>
      <c r="EL23" s="47"/>
      <c r="EM23" s="47"/>
      <c r="EN23" s="47"/>
      <c r="EO23" s="47"/>
      <c r="EP23" s="47"/>
      <c r="EQ23" s="47"/>
      <c r="ER23" s="47"/>
      <c r="ES23" s="47"/>
      <c r="ET23" s="47"/>
      <c r="EU23" s="47"/>
      <c r="EV23" s="47"/>
      <c r="EW23" s="47"/>
      <c r="EX23" s="47"/>
      <c r="EY23" s="47"/>
      <c r="EZ23" s="47"/>
      <c r="FA23" s="47"/>
      <c r="FB23" s="47"/>
      <c r="FC23" s="47"/>
      <c r="FD23" s="47"/>
      <c r="FE23" s="47"/>
      <c r="FF23" s="47"/>
      <c r="FG23" s="47"/>
      <c r="FH23" s="47"/>
      <c r="FI23" s="47"/>
      <c r="FJ23" s="47"/>
      <c r="FK23" s="47"/>
      <c r="FL23" s="47"/>
      <c r="FM23" s="47"/>
    </row>
    <row r="24" spans="1:169" ht="15.6" x14ac:dyDescent="0.3">
      <c r="A24" s="49" t="s">
        <v>60</v>
      </c>
      <c r="B24" s="67" t="s">
        <v>61</v>
      </c>
      <c r="C24" s="51" t="s">
        <v>13</v>
      </c>
      <c r="D24" s="68" t="s">
        <v>62</v>
      </c>
      <c r="E24" s="17">
        <v>45741</v>
      </c>
      <c r="F24" s="51">
        <v>30</v>
      </c>
      <c r="G24" s="52"/>
      <c r="H24" s="53">
        <v>1</v>
      </c>
      <c r="I24" s="46"/>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M24" s="47"/>
      <c r="CN24" s="47"/>
      <c r="CO24" s="47"/>
      <c r="CP24" s="47"/>
      <c r="CQ24" s="47"/>
      <c r="CR24" s="47"/>
      <c r="CS24" s="47"/>
      <c r="CT24" s="47"/>
      <c r="CU24" s="47"/>
      <c r="CV24" s="47"/>
      <c r="CW24" s="47"/>
      <c r="CX24" s="47"/>
      <c r="CY24" s="47"/>
      <c r="CZ24" s="47"/>
      <c r="DA24" s="47"/>
      <c r="DB24" s="47"/>
      <c r="DC24" s="47"/>
      <c r="DD24" s="47"/>
      <c r="DE24" s="47"/>
      <c r="DF24" s="47"/>
      <c r="DG24" s="47"/>
      <c r="DH24" s="47"/>
      <c r="DI24" s="47"/>
      <c r="DJ24" s="47"/>
      <c r="DK24" s="47"/>
      <c r="DL24" s="47"/>
      <c r="DM24" s="47"/>
      <c r="DN24" s="47"/>
      <c r="DO24" s="47"/>
      <c r="DP24" s="47"/>
      <c r="DQ24" s="47"/>
      <c r="DR24" s="47"/>
      <c r="DS24" s="47"/>
      <c r="DT24" s="47"/>
      <c r="DU24" s="47"/>
      <c r="DV24" s="47"/>
      <c r="DW24" s="47"/>
      <c r="DX24" s="47"/>
      <c r="DY24" s="47"/>
      <c r="DZ24" s="47"/>
      <c r="EA24" s="47"/>
      <c r="EB24" s="47"/>
      <c r="EC24" s="47"/>
      <c r="ED24" s="47"/>
      <c r="EE24" s="47"/>
      <c r="EF24" s="47"/>
      <c r="EG24" s="47"/>
      <c r="EH24" s="47"/>
      <c r="EI24" s="47"/>
      <c r="EJ24" s="47"/>
      <c r="EK24" s="47"/>
      <c r="EL24" s="47"/>
      <c r="EM24" s="47"/>
      <c r="EN24" s="47"/>
      <c r="EO24" s="47"/>
      <c r="EP24" s="47"/>
      <c r="EQ24" s="47"/>
      <c r="ER24" s="47"/>
      <c r="ES24" s="47"/>
      <c r="ET24" s="47"/>
      <c r="EU24" s="47"/>
      <c r="EV24" s="47"/>
      <c r="EW24" s="47"/>
      <c r="EX24" s="47"/>
      <c r="EY24" s="47"/>
      <c r="EZ24" s="47"/>
      <c r="FA24" s="47"/>
      <c r="FB24" s="47"/>
      <c r="FC24" s="47"/>
      <c r="FD24" s="47"/>
      <c r="FE24" s="47"/>
      <c r="FF24" s="47"/>
      <c r="FG24" s="47"/>
      <c r="FH24" s="47"/>
      <c r="FI24" s="47"/>
      <c r="FJ24" s="47"/>
      <c r="FK24" s="47"/>
      <c r="FL24" s="47"/>
      <c r="FM24" s="47"/>
    </row>
    <row r="25" spans="1:169" ht="15.6" x14ac:dyDescent="0.3">
      <c r="A25" s="49" t="s">
        <v>63</v>
      </c>
      <c r="B25" s="69" t="s">
        <v>64</v>
      </c>
      <c r="C25" s="51" t="s">
        <v>13</v>
      </c>
      <c r="D25" s="68" t="s">
        <v>65</v>
      </c>
      <c r="E25" s="17">
        <v>45741</v>
      </c>
      <c r="F25" s="51">
        <v>30</v>
      </c>
      <c r="G25" s="52"/>
      <c r="H25" s="53">
        <v>1</v>
      </c>
      <c r="I25" s="46"/>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M25" s="47"/>
      <c r="CN25" s="47"/>
      <c r="CO25" s="47"/>
      <c r="CP25" s="47"/>
      <c r="CQ25" s="47"/>
      <c r="CR25" s="47"/>
      <c r="CS25" s="47"/>
      <c r="CT25" s="47"/>
      <c r="CU25" s="47"/>
      <c r="CV25" s="47"/>
      <c r="CW25" s="47"/>
      <c r="CX25" s="47"/>
      <c r="CY25" s="47"/>
      <c r="CZ25" s="47"/>
      <c r="DA25" s="47"/>
      <c r="DB25" s="47"/>
      <c r="DC25" s="47"/>
      <c r="DD25" s="47"/>
      <c r="DE25" s="47"/>
      <c r="DF25" s="47"/>
      <c r="DG25" s="47"/>
      <c r="DH25" s="47"/>
      <c r="DI25" s="47"/>
      <c r="DJ25" s="47"/>
      <c r="DK25" s="47"/>
      <c r="DL25" s="47"/>
      <c r="DM25" s="47"/>
      <c r="DN25" s="47"/>
      <c r="DO25" s="47"/>
      <c r="DP25" s="47"/>
      <c r="DQ25" s="47"/>
      <c r="DR25" s="47"/>
      <c r="DS25" s="47"/>
      <c r="DT25" s="47"/>
      <c r="DU25" s="47"/>
      <c r="DV25" s="47"/>
      <c r="DW25" s="47"/>
      <c r="DX25" s="47"/>
      <c r="DY25" s="47"/>
      <c r="DZ25" s="47"/>
      <c r="EA25" s="47"/>
      <c r="EB25" s="47"/>
      <c r="EC25" s="47"/>
      <c r="ED25" s="47"/>
      <c r="EE25" s="47"/>
      <c r="EF25" s="47"/>
      <c r="EG25" s="47"/>
      <c r="EH25" s="47"/>
      <c r="EI25" s="47"/>
      <c r="EJ25" s="47"/>
      <c r="EK25" s="47"/>
      <c r="EL25" s="47"/>
      <c r="EM25" s="47"/>
      <c r="EN25" s="47"/>
      <c r="EO25" s="47"/>
      <c r="EP25" s="47"/>
      <c r="EQ25" s="47"/>
      <c r="ER25" s="47"/>
      <c r="ES25" s="47"/>
      <c r="ET25" s="47"/>
      <c r="EU25" s="47"/>
      <c r="EV25" s="47"/>
      <c r="EW25" s="47"/>
      <c r="EX25" s="47"/>
      <c r="EY25" s="47"/>
      <c r="EZ25" s="47"/>
      <c r="FA25" s="47"/>
      <c r="FB25" s="47"/>
      <c r="FC25" s="47"/>
      <c r="FD25" s="47"/>
      <c r="FE25" s="47"/>
      <c r="FF25" s="47"/>
      <c r="FG25" s="47"/>
      <c r="FH25" s="47"/>
      <c r="FI25" s="47"/>
      <c r="FJ25" s="47"/>
      <c r="FK25" s="47"/>
      <c r="FL25" s="47"/>
      <c r="FM25" s="47"/>
    </row>
    <row r="26" spans="1:169" ht="15.6" x14ac:dyDescent="0.3">
      <c r="A26" s="49" t="s">
        <v>66</v>
      </c>
      <c r="B26" s="69" t="s">
        <v>67</v>
      </c>
      <c r="C26" s="51" t="s">
        <v>13</v>
      </c>
      <c r="D26" s="70" t="s">
        <v>68</v>
      </c>
      <c r="E26" s="17">
        <v>45717</v>
      </c>
      <c r="F26" s="51">
        <v>50</v>
      </c>
      <c r="G26" s="52"/>
      <c r="H26" s="53">
        <v>1</v>
      </c>
      <c r="I26" s="46"/>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M26" s="47"/>
      <c r="CN26" s="47"/>
      <c r="CO26" s="47"/>
      <c r="CP26" s="47"/>
      <c r="CQ26" s="47"/>
      <c r="CR26" s="47"/>
      <c r="CS26" s="47"/>
      <c r="CT26" s="47"/>
      <c r="CU26" s="47"/>
      <c r="CV26" s="47"/>
      <c r="CW26" s="47"/>
      <c r="CX26" s="47"/>
      <c r="CY26" s="47"/>
      <c r="CZ26" s="47"/>
      <c r="DA26" s="47"/>
      <c r="DB26" s="47"/>
      <c r="DC26" s="47"/>
      <c r="DD26" s="47"/>
      <c r="DE26" s="47"/>
      <c r="DF26" s="47"/>
      <c r="DG26" s="47"/>
      <c r="DH26" s="47"/>
      <c r="DI26" s="47"/>
      <c r="DJ26" s="47"/>
      <c r="DK26" s="47"/>
      <c r="DL26" s="47"/>
      <c r="DM26" s="47"/>
      <c r="DN26" s="47"/>
      <c r="DO26" s="47"/>
      <c r="DP26" s="47"/>
      <c r="DQ26" s="47"/>
      <c r="DR26" s="47"/>
      <c r="DS26" s="47"/>
      <c r="DT26" s="47"/>
      <c r="DU26" s="47"/>
      <c r="DV26" s="47"/>
      <c r="DW26" s="47"/>
      <c r="DX26" s="47"/>
      <c r="DY26" s="47"/>
      <c r="DZ26" s="47"/>
      <c r="EA26" s="47"/>
      <c r="EB26" s="47"/>
      <c r="EC26" s="47"/>
      <c r="ED26" s="47"/>
      <c r="EE26" s="47"/>
      <c r="EF26" s="47"/>
      <c r="EG26" s="47"/>
      <c r="EH26" s="47"/>
      <c r="EI26" s="47"/>
      <c r="EJ26" s="47"/>
      <c r="EK26" s="47"/>
      <c r="EL26" s="47"/>
      <c r="EM26" s="47"/>
      <c r="EN26" s="47"/>
      <c r="EO26" s="47"/>
      <c r="EP26" s="47"/>
      <c r="EQ26" s="47"/>
      <c r="ER26" s="47"/>
      <c r="ES26" s="47"/>
      <c r="ET26" s="47"/>
      <c r="EU26" s="47"/>
      <c r="EV26" s="47"/>
      <c r="EW26" s="47"/>
      <c r="EX26" s="47"/>
      <c r="EY26" s="47"/>
      <c r="EZ26" s="47"/>
      <c r="FA26" s="47"/>
      <c r="FB26" s="47"/>
      <c r="FC26" s="47"/>
      <c r="FD26" s="47"/>
      <c r="FE26" s="47"/>
      <c r="FF26" s="47"/>
      <c r="FG26" s="47"/>
      <c r="FH26" s="47"/>
      <c r="FI26" s="47"/>
      <c r="FJ26" s="47"/>
      <c r="FK26" s="47"/>
      <c r="FL26" s="47"/>
      <c r="FM26" s="47"/>
    </row>
    <row r="27" spans="1:169" ht="15.6" x14ac:dyDescent="0.3">
      <c r="A27" s="49" t="s">
        <v>69</v>
      </c>
      <c r="B27" s="69"/>
      <c r="C27" s="51" t="s">
        <v>13</v>
      </c>
      <c r="D27" s="70" t="s">
        <v>70</v>
      </c>
      <c r="E27" s="17">
        <v>45750</v>
      </c>
      <c r="F27" s="51">
        <v>90</v>
      </c>
      <c r="G27" s="52"/>
      <c r="H27" s="53">
        <v>1</v>
      </c>
      <c r="I27" s="46"/>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c r="CP27" s="47"/>
      <c r="CQ27" s="47"/>
      <c r="CR27" s="47"/>
      <c r="CS27" s="47"/>
      <c r="CT27" s="47"/>
      <c r="CU27" s="47"/>
      <c r="CV27" s="47"/>
      <c r="CW27" s="47"/>
      <c r="CX27" s="47"/>
      <c r="CY27" s="47"/>
      <c r="CZ27" s="47"/>
      <c r="DA27" s="47"/>
      <c r="DB27" s="47"/>
      <c r="DC27" s="47"/>
      <c r="DD27" s="47"/>
      <c r="DE27" s="47"/>
      <c r="DF27" s="47"/>
      <c r="DG27" s="47"/>
      <c r="DH27" s="47"/>
      <c r="DI27" s="47"/>
      <c r="DJ27" s="47"/>
      <c r="DK27" s="47"/>
      <c r="DL27" s="47"/>
      <c r="DM27" s="47"/>
      <c r="DN27" s="47"/>
      <c r="DO27" s="47"/>
      <c r="DP27" s="47"/>
      <c r="DQ27" s="47"/>
      <c r="DR27" s="47"/>
      <c r="DS27" s="47"/>
      <c r="DT27" s="47"/>
      <c r="DU27" s="47"/>
      <c r="DV27" s="47"/>
      <c r="DW27" s="47"/>
      <c r="DX27" s="47"/>
      <c r="DY27" s="47"/>
      <c r="DZ27" s="47"/>
      <c r="EA27" s="47"/>
      <c r="EB27" s="47"/>
      <c r="EC27" s="47"/>
      <c r="ED27" s="47"/>
      <c r="EE27" s="47"/>
      <c r="EF27" s="47"/>
      <c r="EG27" s="47"/>
      <c r="EH27" s="47"/>
      <c r="EI27" s="47"/>
      <c r="EJ27" s="47"/>
      <c r="EK27" s="47"/>
      <c r="EL27" s="47"/>
      <c r="EM27" s="47"/>
      <c r="EN27" s="47"/>
      <c r="EO27" s="47"/>
      <c r="EP27" s="47"/>
      <c r="EQ27" s="47"/>
      <c r="ER27" s="47"/>
      <c r="ES27" s="47"/>
      <c r="ET27" s="47"/>
      <c r="EU27" s="47"/>
      <c r="EV27" s="47"/>
      <c r="EW27" s="47"/>
      <c r="EX27" s="47"/>
      <c r="EY27" s="47"/>
      <c r="EZ27" s="47"/>
      <c r="FA27" s="47"/>
      <c r="FB27" s="47"/>
      <c r="FC27" s="47"/>
      <c r="FD27" s="47"/>
      <c r="FE27" s="47"/>
      <c r="FF27" s="47"/>
      <c r="FG27" s="47"/>
      <c r="FH27" s="47"/>
      <c r="FI27" s="47"/>
      <c r="FJ27" s="47"/>
      <c r="FK27" s="47"/>
      <c r="FL27" s="47"/>
      <c r="FM27" s="47"/>
    </row>
    <row r="28" spans="1:169" ht="15.6" x14ac:dyDescent="0.3">
      <c r="A28" s="54">
        <v>5</v>
      </c>
      <c r="B28" s="41" t="s">
        <v>71</v>
      </c>
      <c r="C28" s="42"/>
      <c r="D28" s="42"/>
      <c r="E28" s="43"/>
      <c r="F28" s="40"/>
      <c r="G28" s="44"/>
      <c r="H28" s="45">
        <f>SUMIF(A29:A36,A28&amp;"*",H29:H48)/(COUNTIF(A28:A48,A28&amp;".*"))</f>
        <v>1</v>
      </c>
    </row>
    <row r="29" spans="1:169" ht="15.6" x14ac:dyDescent="0.3">
      <c r="A29" s="49" t="s">
        <v>72</v>
      </c>
      <c r="B29" s="71" t="s">
        <v>73</v>
      </c>
      <c r="C29" s="51" t="s">
        <v>13</v>
      </c>
      <c r="D29" s="68" t="s">
        <v>74</v>
      </c>
      <c r="E29" s="17">
        <v>45773</v>
      </c>
      <c r="F29" s="51">
        <v>120</v>
      </c>
      <c r="G29" s="52"/>
      <c r="H29" s="53">
        <v>1</v>
      </c>
    </row>
    <row r="30" spans="1:169" ht="15.6" x14ac:dyDescent="0.3">
      <c r="A30" s="49" t="s">
        <v>75</v>
      </c>
      <c r="B30" s="71" t="s">
        <v>76</v>
      </c>
      <c r="C30" s="51" t="s">
        <v>13</v>
      </c>
      <c r="D30" s="68" t="s">
        <v>77</v>
      </c>
      <c r="E30" s="17">
        <v>45773</v>
      </c>
      <c r="F30" s="51">
        <v>80</v>
      </c>
      <c r="G30" s="52"/>
      <c r="H30" s="53">
        <v>1</v>
      </c>
    </row>
    <row r="31" spans="1:169" ht="15.6" x14ac:dyDescent="0.3">
      <c r="A31" s="49" t="s">
        <v>78</v>
      </c>
      <c r="B31" s="71" t="s">
        <v>79</v>
      </c>
      <c r="C31" s="51" t="s">
        <v>13</v>
      </c>
      <c r="D31" s="68" t="s">
        <v>80</v>
      </c>
      <c r="E31" s="17">
        <v>45785</v>
      </c>
      <c r="F31" s="51">
        <v>80</v>
      </c>
      <c r="G31" s="52"/>
      <c r="H31" s="53">
        <v>1</v>
      </c>
    </row>
    <row r="32" spans="1:169" ht="15.6" x14ac:dyDescent="0.3">
      <c r="A32" s="54">
        <v>6</v>
      </c>
      <c r="B32" s="41" t="s">
        <v>81</v>
      </c>
      <c r="C32" s="42"/>
      <c r="D32" s="42"/>
      <c r="E32" s="43"/>
      <c r="F32" s="40"/>
      <c r="G32" s="44"/>
      <c r="H32" s="45">
        <f>SUMIF(A33:A40,A32&amp;"*",H33:H52)/(COUNTIF(A32:A52,A32&amp;".*"))</f>
        <v>0.7</v>
      </c>
    </row>
    <row r="33" spans="1:169" ht="15.6" x14ac:dyDescent="0.3">
      <c r="A33" s="49" t="s">
        <v>82</v>
      </c>
      <c r="B33" s="71" t="s">
        <v>83</v>
      </c>
      <c r="C33" s="51" t="s">
        <v>13</v>
      </c>
      <c r="D33" s="68" t="s">
        <v>84</v>
      </c>
      <c r="E33" s="17">
        <v>45785</v>
      </c>
      <c r="F33" s="51">
        <v>20</v>
      </c>
      <c r="G33" s="52"/>
      <c r="H33" s="53">
        <v>1</v>
      </c>
    </row>
    <row r="34" spans="1:169" ht="15.6" x14ac:dyDescent="0.3">
      <c r="A34" s="49" t="s">
        <v>85</v>
      </c>
      <c r="B34" s="71" t="s">
        <v>86</v>
      </c>
      <c r="C34" s="51" t="s">
        <v>13</v>
      </c>
      <c r="D34" s="68" t="s">
        <v>87</v>
      </c>
      <c r="E34" s="17">
        <v>45786</v>
      </c>
      <c r="F34" s="51">
        <v>60</v>
      </c>
      <c r="G34" s="52"/>
      <c r="H34" s="53">
        <v>1</v>
      </c>
    </row>
    <row r="35" spans="1:169" ht="15.6" x14ac:dyDescent="0.3">
      <c r="A35" s="49" t="s">
        <v>88</v>
      </c>
      <c r="B35" s="71" t="s">
        <v>89</v>
      </c>
      <c r="C35" s="51" t="s">
        <v>13</v>
      </c>
      <c r="D35" s="68" t="s">
        <v>90</v>
      </c>
      <c r="E35" s="17">
        <v>45803</v>
      </c>
      <c r="F35" s="51">
        <v>20</v>
      </c>
      <c r="G35" s="52"/>
      <c r="H35" s="53">
        <v>1</v>
      </c>
    </row>
    <row r="36" spans="1:169" ht="15.6" x14ac:dyDescent="0.3">
      <c r="A36" s="49" t="s">
        <v>91</v>
      </c>
      <c r="B36" s="71" t="s">
        <v>92</v>
      </c>
      <c r="C36" s="51" t="s">
        <v>13</v>
      </c>
      <c r="D36" s="68" t="s">
        <v>93</v>
      </c>
      <c r="E36" s="17">
        <v>45803</v>
      </c>
      <c r="F36" s="51">
        <v>120</v>
      </c>
      <c r="G36" s="52"/>
      <c r="H36" s="53">
        <v>1</v>
      </c>
    </row>
    <row r="37" spans="1:169" ht="15.6" x14ac:dyDescent="0.3">
      <c r="A37" s="54">
        <v>7</v>
      </c>
      <c r="B37" s="41" t="s">
        <v>94</v>
      </c>
      <c r="C37" s="42"/>
      <c r="D37" s="42"/>
      <c r="E37" s="43"/>
      <c r="F37" s="40"/>
      <c r="G37" s="44"/>
      <c r="H37" s="45" t="e">
        <f>SUMIF(A38:A44,A37&amp;"*",H38:H56)/(COUNTIF(A37:A56,A37&amp;".*"))</f>
        <v>#DIV/0!</v>
      </c>
    </row>
    <row r="38" spans="1:169" ht="15.6" x14ac:dyDescent="0.3">
      <c r="A38" s="49" t="s">
        <v>82</v>
      </c>
      <c r="B38" s="71" t="s">
        <v>95</v>
      </c>
      <c r="C38" s="51" t="s">
        <v>13</v>
      </c>
      <c r="D38" s="68" t="s">
        <v>96</v>
      </c>
      <c r="E38" s="17">
        <v>45806</v>
      </c>
      <c r="F38" s="51">
        <v>300</v>
      </c>
      <c r="G38" s="52"/>
      <c r="H38" s="53">
        <v>1</v>
      </c>
    </row>
    <row r="39" spans="1:169" ht="15" customHeight="1" x14ac:dyDescent="0.3">
      <c r="A39" s="49" t="s">
        <v>85</v>
      </c>
      <c r="B39" s="71" t="s">
        <v>97</v>
      </c>
      <c r="C39" s="51" t="s">
        <v>13</v>
      </c>
      <c r="D39" s="68" t="s">
        <v>98</v>
      </c>
      <c r="E39" s="17">
        <v>45807</v>
      </c>
      <c r="F39" s="51">
        <v>35</v>
      </c>
      <c r="G39" s="52"/>
      <c r="H39" s="53">
        <v>1</v>
      </c>
    </row>
    <row r="40" spans="1:169" ht="15" customHeight="1" x14ac:dyDescent="0.3">
      <c r="A40" s="49" t="s">
        <v>88</v>
      </c>
      <c r="B40" s="71" t="s">
        <v>99</v>
      </c>
      <c r="C40" s="51" t="s">
        <v>13</v>
      </c>
      <c r="D40" s="68" t="s">
        <v>100</v>
      </c>
      <c r="E40" s="17">
        <v>45807</v>
      </c>
      <c r="F40" s="51">
        <v>120</v>
      </c>
      <c r="G40" s="52"/>
      <c r="H40" s="53">
        <v>1</v>
      </c>
    </row>
    <row r="41" spans="1:169" s="6" customFormat="1" ht="15" customHeight="1" x14ac:dyDescent="0.3">
      <c r="A41" s="49" t="s">
        <v>91</v>
      </c>
      <c r="B41" s="71" t="s">
        <v>99</v>
      </c>
      <c r="C41" s="51" t="s">
        <v>13</v>
      </c>
      <c r="D41" s="68" t="s">
        <v>101</v>
      </c>
      <c r="E41" s="17">
        <v>45808</v>
      </c>
      <c r="F41" s="51">
        <v>120</v>
      </c>
      <c r="G41" s="52"/>
      <c r="H41" s="53">
        <v>1</v>
      </c>
      <c r="I41" s="19"/>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c r="DF41" s="15"/>
      <c r="DG41" s="15"/>
      <c r="DH41" s="15"/>
      <c r="DI41" s="15"/>
      <c r="DJ41" s="15"/>
      <c r="DK41" s="15"/>
      <c r="DL41" s="15"/>
      <c r="DM41" s="15"/>
      <c r="DN41" s="15"/>
      <c r="DO41" s="15"/>
      <c r="DP41" s="15"/>
      <c r="DQ41" s="15"/>
      <c r="DR41" s="15"/>
      <c r="DS41" s="15"/>
      <c r="DT41" s="15"/>
      <c r="DU41" s="15"/>
      <c r="DV41" s="15"/>
      <c r="DW41" s="15"/>
      <c r="DX41" s="15"/>
      <c r="DY41" s="15"/>
      <c r="DZ41" s="15"/>
      <c r="EA41" s="15"/>
      <c r="EB41" s="15"/>
      <c r="EC41" s="15"/>
      <c r="ED41" s="15"/>
      <c r="EE41" s="15"/>
      <c r="EF41" s="15"/>
      <c r="EG41" s="15"/>
      <c r="EH41" s="15"/>
      <c r="EI41" s="15"/>
      <c r="EJ41" s="15"/>
      <c r="EK41" s="15"/>
      <c r="EL41" s="15"/>
      <c r="EM41" s="15"/>
      <c r="EN41" s="15"/>
      <c r="EO41" s="15"/>
      <c r="EP41" s="15"/>
      <c r="EQ41" s="15"/>
      <c r="ER41" s="15"/>
      <c r="ES41" s="15"/>
      <c r="ET41" s="15"/>
      <c r="EU41" s="15"/>
      <c r="EV41" s="15"/>
      <c r="EW41" s="15"/>
      <c r="EX41" s="15"/>
      <c r="EY41" s="15"/>
      <c r="EZ41" s="15"/>
      <c r="FA41" s="15"/>
      <c r="FB41" s="15"/>
      <c r="FC41" s="15"/>
      <c r="FD41" s="15"/>
      <c r="FE41" s="15"/>
      <c r="FF41" s="15"/>
      <c r="FG41" s="15"/>
      <c r="FH41" s="15"/>
      <c r="FI41" s="15"/>
      <c r="FJ41" s="15"/>
      <c r="FK41" s="15"/>
      <c r="FL41" s="15"/>
      <c r="FM41" s="15"/>
    </row>
    <row r="42" spans="1:169" s="6" customFormat="1" ht="15" customHeight="1" x14ac:dyDescent="0.3">
      <c r="A42" s="49" t="s">
        <v>102</v>
      </c>
      <c r="B42" s="71" t="s">
        <v>103</v>
      </c>
      <c r="C42" s="51" t="s">
        <v>13</v>
      </c>
      <c r="D42" s="68" t="s">
        <v>104</v>
      </c>
      <c r="E42" s="17">
        <v>45811</v>
      </c>
      <c r="F42" s="51">
        <v>300</v>
      </c>
      <c r="G42" s="52"/>
      <c r="H42" s="53">
        <v>1</v>
      </c>
      <c r="I42" s="19"/>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c r="DF42" s="15"/>
      <c r="DG42" s="15"/>
      <c r="DH42" s="15"/>
      <c r="DI42" s="15"/>
      <c r="DJ42" s="15"/>
      <c r="DK42" s="15"/>
      <c r="DL42" s="15"/>
      <c r="DM42" s="15"/>
      <c r="DN42" s="15"/>
      <c r="DO42" s="15"/>
      <c r="DP42" s="15"/>
      <c r="DQ42" s="15"/>
      <c r="DR42" s="15"/>
      <c r="DS42" s="15"/>
      <c r="DT42" s="15"/>
      <c r="DU42" s="15"/>
      <c r="DV42" s="15"/>
      <c r="DW42" s="15"/>
      <c r="DX42" s="15"/>
      <c r="DY42" s="15"/>
      <c r="DZ42" s="15"/>
      <c r="EA42" s="15"/>
      <c r="EB42" s="15"/>
      <c r="EC42" s="15"/>
      <c r="ED42" s="15"/>
      <c r="EE42" s="15"/>
      <c r="EF42" s="15"/>
      <c r="EG42" s="15"/>
      <c r="EH42" s="15"/>
      <c r="EI42" s="15"/>
      <c r="EJ42" s="15"/>
      <c r="EK42" s="15"/>
      <c r="EL42" s="15"/>
      <c r="EM42" s="15"/>
      <c r="EN42" s="15"/>
      <c r="EO42" s="15"/>
      <c r="EP42" s="15"/>
      <c r="EQ42" s="15"/>
      <c r="ER42" s="15"/>
      <c r="ES42" s="15"/>
      <c r="ET42" s="15"/>
      <c r="EU42" s="15"/>
      <c r="EV42" s="15"/>
      <c r="EW42" s="15"/>
      <c r="EX42" s="15"/>
      <c r="EY42" s="15"/>
      <c r="EZ42" s="15"/>
      <c r="FA42" s="15"/>
      <c r="FB42" s="15"/>
      <c r="FC42" s="15"/>
      <c r="FD42" s="15"/>
      <c r="FE42" s="15"/>
      <c r="FF42" s="15"/>
      <c r="FG42" s="15"/>
      <c r="FH42" s="15"/>
      <c r="FI42" s="15"/>
      <c r="FJ42" s="15"/>
      <c r="FK42" s="15"/>
      <c r="FL42" s="15"/>
      <c r="FM42" s="15"/>
    </row>
    <row r="43" spans="1:169" s="6" customFormat="1" ht="15" customHeight="1" x14ac:dyDescent="0.3">
      <c r="A43" s="49" t="s">
        <v>102</v>
      </c>
      <c r="B43" s="71" t="s">
        <v>105</v>
      </c>
      <c r="C43" s="51" t="s">
        <v>13</v>
      </c>
      <c r="D43" s="68" t="s">
        <v>106</v>
      </c>
      <c r="E43" s="17">
        <v>45811</v>
      </c>
      <c r="F43" s="51">
        <v>240</v>
      </c>
      <c r="G43" s="52"/>
      <c r="H43" s="53">
        <v>1</v>
      </c>
      <c r="I43" s="19"/>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c r="DF43" s="15"/>
      <c r="DG43" s="15"/>
      <c r="DH43" s="15"/>
      <c r="DI43" s="15"/>
      <c r="DJ43" s="15"/>
      <c r="DK43" s="15"/>
      <c r="DL43" s="15"/>
      <c r="DM43" s="15"/>
      <c r="DN43" s="15"/>
      <c r="DO43" s="15"/>
      <c r="DP43" s="15"/>
      <c r="DQ43" s="15"/>
      <c r="DR43" s="15"/>
      <c r="DS43" s="15"/>
      <c r="DT43" s="15"/>
      <c r="DU43" s="15"/>
      <c r="DV43" s="15"/>
      <c r="DW43" s="15"/>
      <c r="DX43" s="15"/>
      <c r="DY43" s="15"/>
      <c r="DZ43" s="15"/>
      <c r="EA43" s="15"/>
      <c r="EB43" s="15"/>
      <c r="EC43" s="15"/>
      <c r="ED43" s="15"/>
      <c r="EE43" s="15"/>
      <c r="EF43" s="15"/>
      <c r="EG43" s="15"/>
      <c r="EH43" s="15"/>
      <c r="EI43" s="15"/>
      <c r="EJ43" s="15"/>
      <c r="EK43" s="15"/>
      <c r="EL43" s="15"/>
      <c r="EM43" s="15"/>
      <c r="EN43" s="15"/>
      <c r="EO43" s="15"/>
      <c r="EP43" s="15"/>
      <c r="EQ43" s="15"/>
      <c r="ER43" s="15"/>
      <c r="ES43" s="15"/>
      <c r="ET43" s="15"/>
      <c r="EU43" s="15"/>
      <c r="EV43" s="15"/>
      <c r="EW43" s="15"/>
      <c r="EX43" s="15"/>
      <c r="EY43" s="15"/>
      <c r="EZ43" s="15"/>
      <c r="FA43" s="15"/>
      <c r="FB43" s="15"/>
      <c r="FC43" s="15"/>
      <c r="FD43" s="15"/>
      <c r="FE43" s="15"/>
      <c r="FF43" s="15"/>
      <c r="FG43" s="15"/>
      <c r="FH43" s="15"/>
      <c r="FI43" s="15"/>
      <c r="FJ43" s="15"/>
      <c r="FK43" s="15"/>
      <c r="FL43" s="15"/>
      <c r="FM43" s="15"/>
    </row>
    <row r="44" spans="1:169" ht="23.4" x14ac:dyDescent="0.45">
      <c r="F44" s="72" t="s">
        <v>107</v>
      </c>
      <c r="G44" s="8"/>
    </row>
    <row r="45" spans="1:169" x14ac:dyDescent="0.25">
      <c r="G45" s="8"/>
    </row>
    <row r="46" spans="1:169" x14ac:dyDescent="0.25">
      <c r="G46" s="8"/>
    </row>
    <row r="47" spans="1:169" x14ac:dyDescent="0.25">
      <c r="G47" s="8"/>
    </row>
    <row r="48" spans="1:169" x14ac:dyDescent="0.25">
      <c r="G48" s="8"/>
    </row>
    <row r="49" spans="7:7" x14ac:dyDescent="0.25">
      <c r="G49" s="8"/>
    </row>
    <row r="50" spans="7:7" x14ac:dyDescent="0.25">
      <c r="G50" s="8"/>
    </row>
    <row r="51" spans="7:7" x14ac:dyDescent="0.25">
      <c r="G51" s="8"/>
    </row>
    <row r="52" spans="7:7" x14ac:dyDescent="0.25">
      <c r="G52" s="8"/>
    </row>
    <row r="53" spans="7:7" x14ac:dyDescent="0.25">
      <c r="G53" s="8"/>
    </row>
    <row r="54" spans="7:7" x14ac:dyDescent="0.25">
      <c r="G54" s="8"/>
    </row>
    <row r="55" spans="7:7" x14ac:dyDescent="0.25">
      <c r="G55" s="8"/>
    </row>
    <row r="56" spans="7:7" x14ac:dyDescent="0.25">
      <c r="G56" s="8"/>
    </row>
    <row r="57" spans="7:7" x14ac:dyDescent="0.25">
      <c r="G57" s="8"/>
    </row>
    <row r="58" spans="7:7" x14ac:dyDescent="0.25">
      <c r="G58" s="8"/>
    </row>
    <row r="59" spans="7:7" x14ac:dyDescent="0.25">
      <c r="G59" s="8"/>
    </row>
    <row r="60" spans="7:7" x14ac:dyDescent="0.25">
      <c r="G60" s="8"/>
    </row>
    <row r="61" spans="7:7" x14ac:dyDescent="0.25">
      <c r="G61" s="8"/>
    </row>
    <row r="62" spans="7:7" x14ac:dyDescent="0.25">
      <c r="G62" s="8"/>
    </row>
    <row r="63" spans="7:7" x14ac:dyDescent="0.25">
      <c r="G63" s="8"/>
    </row>
    <row r="64" spans="7:7" x14ac:dyDescent="0.25">
      <c r="G64" s="8"/>
    </row>
    <row r="65" spans="7:7" x14ac:dyDescent="0.25">
      <c r="G65" s="8"/>
    </row>
    <row r="66" spans="7:7" x14ac:dyDescent="0.25">
      <c r="G66" s="8"/>
    </row>
    <row r="67" spans="7:7" x14ac:dyDescent="0.25">
      <c r="G67" s="8"/>
    </row>
    <row r="68" spans="7:7" x14ac:dyDescent="0.25">
      <c r="G68" s="8"/>
    </row>
    <row r="69" spans="7:7" x14ac:dyDescent="0.25">
      <c r="G69" s="8"/>
    </row>
    <row r="70" spans="7:7" x14ac:dyDescent="0.25">
      <c r="G70" s="8"/>
    </row>
    <row r="71" spans="7:7" x14ac:dyDescent="0.25">
      <c r="G71" s="8"/>
    </row>
    <row r="72" spans="7:7" x14ac:dyDescent="0.25">
      <c r="G72" s="8"/>
    </row>
    <row r="73" spans="7:7" x14ac:dyDescent="0.25">
      <c r="G73" s="8"/>
    </row>
    <row r="74" spans="7:7" x14ac:dyDescent="0.25">
      <c r="G74" s="8"/>
    </row>
    <row r="75" spans="7:7" x14ac:dyDescent="0.25">
      <c r="G75" s="8"/>
    </row>
    <row r="76" spans="7:7" x14ac:dyDescent="0.25">
      <c r="G76" s="8"/>
    </row>
    <row r="77" spans="7:7" x14ac:dyDescent="0.25">
      <c r="G77" s="8"/>
    </row>
    <row r="78" spans="7:7" x14ac:dyDescent="0.25">
      <c r="G78" s="8"/>
    </row>
    <row r="79" spans="7:7" x14ac:dyDescent="0.25">
      <c r="G79" s="8"/>
    </row>
    <row r="80" spans="7:7" x14ac:dyDescent="0.25">
      <c r="G80" s="8"/>
    </row>
    <row r="81" spans="7:7" x14ac:dyDescent="0.25">
      <c r="G81" s="8"/>
    </row>
    <row r="82" spans="7:7" x14ac:dyDescent="0.25">
      <c r="G82" s="8"/>
    </row>
    <row r="83" spans="7:7" x14ac:dyDescent="0.25">
      <c r="G83" s="8"/>
    </row>
    <row r="84" spans="7:7" x14ac:dyDescent="0.25">
      <c r="G84" s="8"/>
    </row>
    <row r="85" spans="7:7" x14ac:dyDescent="0.25">
      <c r="G85" s="8"/>
    </row>
    <row r="86" spans="7:7" x14ac:dyDescent="0.25">
      <c r="G86" s="8"/>
    </row>
    <row r="87" spans="7:7" x14ac:dyDescent="0.25">
      <c r="G87" s="8"/>
    </row>
    <row r="88" spans="7:7" x14ac:dyDescent="0.25">
      <c r="G88" s="8"/>
    </row>
    <row r="89" spans="7:7" x14ac:dyDescent="0.25">
      <c r="G89" s="8"/>
    </row>
    <row r="90" spans="7:7" x14ac:dyDescent="0.25">
      <c r="G90" s="8"/>
    </row>
    <row r="91" spans="7:7" x14ac:dyDescent="0.25">
      <c r="G91" s="8"/>
    </row>
    <row r="92" spans="7:7" x14ac:dyDescent="0.25">
      <c r="G92" s="8"/>
    </row>
    <row r="93" spans="7:7" x14ac:dyDescent="0.25">
      <c r="G93" s="8"/>
    </row>
    <row r="94" spans="7:7" x14ac:dyDescent="0.25">
      <c r="G94" s="8"/>
    </row>
    <row r="95" spans="7:7" x14ac:dyDescent="0.25">
      <c r="G95" s="8"/>
    </row>
    <row r="96" spans="7:7" x14ac:dyDescent="0.25">
      <c r="G96" s="8"/>
    </row>
    <row r="97" spans="7:7" x14ac:dyDescent="0.25">
      <c r="G97" s="8"/>
    </row>
    <row r="98" spans="7:7" x14ac:dyDescent="0.25">
      <c r="G98" s="8"/>
    </row>
    <row r="99" spans="7:7" x14ac:dyDescent="0.25">
      <c r="G99" s="8"/>
    </row>
    <row r="100" spans="7:7" x14ac:dyDescent="0.25">
      <c r="G100" s="8"/>
    </row>
    <row r="101" spans="7:7" x14ac:dyDescent="0.25">
      <c r="G101" s="8"/>
    </row>
    <row r="102" spans="7:7" x14ac:dyDescent="0.25">
      <c r="G102" s="8"/>
    </row>
    <row r="103" spans="7:7" x14ac:dyDescent="0.25">
      <c r="G103" s="8"/>
    </row>
    <row r="104" spans="7:7" x14ac:dyDescent="0.25">
      <c r="G104" s="8"/>
    </row>
    <row r="105" spans="7:7" x14ac:dyDescent="0.25">
      <c r="G105" s="8"/>
    </row>
    <row r="106" spans="7:7" x14ac:dyDescent="0.25">
      <c r="G106" s="8"/>
    </row>
    <row r="107" spans="7:7" x14ac:dyDescent="0.25">
      <c r="G107" s="8"/>
    </row>
    <row r="108" spans="7:7" x14ac:dyDescent="0.25">
      <c r="G108" s="8"/>
    </row>
    <row r="109" spans="7:7" x14ac:dyDescent="0.25">
      <c r="G109" s="8"/>
    </row>
    <row r="110" spans="7:7" x14ac:dyDescent="0.25">
      <c r="G110" s="8"/>
    </row>
    <row r="111" spans="7:7" x14ac:dyDescent="0.25">
      <c r="G111" s="8"/>
    </row>
    <row r="112" spans="7:7" x14ac:dyDescent="0.25">
      <c r="G112" s="8"/>
    </row>
    <row r="113" spans="7:7" x14ac:dyDescent="0.25">
      <c r="G113" s="8"/>
    </row>
    <row r="114" spans="7:7" x14ac:dyDescent="0.25">
      <c r="G114" s="8"/>
    </row>
    <row r="115" spans="7:7" x14ac:dyDescent="0.25">
      <c r="G115" s="8"/>
    </row>
    <row r="116" spans="7:7" x14ac:dyDescent="0.25">
      <c r="G116" s="8"/>
    </row>
    <row r="117" spans="7:7" x14ac:dyDescent="0.25">
      <c r="G117" s="8"/>
    </row>
    <row r="118" spans="7:7" x14ac:dyDescent="0.25">
      <c r="G118" s="8"/>
    </row>
    <row r="119" spans="7:7" x14ac:dyDescent="0.25">
      <c r="G119" s="8"/>
    </row>
    <row r="120" spans="7:7" x14ac:dyDescent="0.25">
      <c r="G120" s="8"/>
    </row>
    <row r="121" spans="7:7" x14ac:dyDescent="0.25">
      <c r="G121" s="8"/>
    </row>
    <row r="122" spans="7:7" x14ac:dyDescent="0.25">
      <c r="G122" s="8"/>
    </row>
    <row r="123" spans="7:7" x14ac:dyDescent="0.25">
      <c r="G123" s="8"/>
    </row>
    <row r="124" spans="7:7" x14ac:dyDescent="0.25">
      <c r="G124" s="8"/>
    </row>
    <row r="125" spans="7:7" x14ac:dyDescent="0.25">
      <c r="G125" s="8"/>
    </row>
    <row r="126" spans="7:7" x14ac:dyDescent="0.25">
      <c r="G126" s="8"/>
    </row>
    <row r="127" spans="7:7" x14ac:dyDescent="0.25">
      <c r="G127" s="8"/>
    </row>
    <row r="128" spans="7:7" x14ac:dyDescent="0.25">
      <c r="G128" s="8"/>
    </row>
    <row r="129" spans="7:7" x14ac:dyDescent="0.25">
      <c r="G129" s="8"/>
    </row>
    <row r="130" spans="7:7" x14ac:dyDescent="0.25">
      <c r="G130" s="8"/>
    </row>
    <row r="131" spans="7:7" x14ac:dyDescent="0.25">
      <c r="G131" s="8"/>
    </row>
    <row r="132" spans="7:7" x14ac:dyDescent="0.25">
      <c r="G132" s="8"/>
    </row>
    <row r="133" spans="7:7" x14ac:dyDescent="0.25">
      <c r="G133" s="8"/>
    </row>
    <row r="134" spans="7:7" x14ac:dyDescent="0.25">
      <c r="G134" s="8"/>
    </row>
    <row r="135" spans="7:7" x14ac:dyDescent="0.25">
      <c r="G135" s="8"/>
    </row>
    <row r="136" spans="7:7" x14ac:dyDescent="0.25">
      <c r="G136" s="8"/>
    </row>
    <row r="137" spans="7:7" x14ac:dyDescent="0.25">
      <c r="G137" s="8"/>
    </row>
    <row r="138" spans="7:7" x14ac:dyDescent="0.25">
      <c r="G138" s="8"/>
    </row>
    <row r="139" spans="7:7" x14ac:dyDescent="0.25">
      <c r="G139" s="8"/>
    </row>
    <row r="140" spans="7:7" x14ac:dyDescent="0.25">
      <c r="G140" s="8"/>
    </row>
    <row r="141" spans="7:7" x14ac:dyDescent="0.25">
      <c r="G141" s="8"/>
    </row>
    <row r="142" spans="7:7" x14ac:dyDescent="0.25">
      <c r="G142" s="8"/>
    </row>
    <row r="143" spans="7:7" x14ac:dyDescent="0.25">
      <c r="G143" s="8"/>
    </row>
    <row r="144" spans="7:7" x14ac:dyDescent="0.25">
      <c r="G144" s="8"/>
    </row>
    <row r="145" spans="7:7" x14ac:dyDescent="0.25">
      <c r="G145" s="8"/>
    </row>
    <row r="146" spans="7:7" x14ac:dyDescent="0.25">
      <c r="G146" s="8"/>
    </row>
    <row r="147" spans="7:7" x14ac:dyDescent="0.25">
      <c r="G147" s="8"/>
    </row>
    <row r="148" spans="7:7" x14ac:dyDescent="0.25">
      <c r="G148" s="8"/>
    </row>
    <row r="149" spans="7:7" x14ac:dyDescent="0.25">
      <c r="G149" s="8"/>
    </row>
    <row r="150" spans="7:7" x14ac:dyDescent="0.25">
      <c r="G150" s="8"/>
    </row>
    <row r="151" spans="7:7" x14ac:dyDescent="0.25">
      <c r="G151" s="8"/>
    </row>
    <row r="152" spans="7:7" x14ac:dyDescent="0.25">
      <c r="G152" s="8"/>
    </row>
    <row r="153" spans="7:7" x14ac:dyDescent="0.25">
      <c r="G153" s="8"/>
    </row>
    <row r="154" spans="7:7" x14ac:dyDescent="0.25">
      <c r="G154" s="8"/>
    </row>
    <row r="155" spans="7:7" x14ac:dyDescent="0.25">
      <c r="G155" s="8"/>
    </row>
    <row r="156" spans="7:7" x14ac:dyDescent="0.25">
      <c r="G156" s="8"/>
    </row>
    <row r="157" spans="7:7" x14ac:dyDescent="0.25">
      <c r="G157" s="8"/>
    </row>
    <row r="158" spans="7:7" x14ac:dyDescent="0.25">
      <c r="G158" s="8"/>
    </row>
    <row r="159" spans="7:7" x14ac:dyDescent="0.25">
      <c r="G159" s="8"/>
    </row>
    <row r="160" spans="7:7" x14ac:dyDescent="0.25">
      <c r="G160" s="8"/>
    </row>
    <row r="161" spans="7:7" x14ac:dyDescent="0.25">
      <c r="G161" s="8"/>
    </row>
    <row r="162" spans="7:7" x14ac:dyDescent="0.25">
      <c r="G162" s="8"/>
    </row>
    <row r="163" spans="7:7" x14ac:dyDescent="0.25">
      <c r="G163" s="8"/>
    </row>
    <row r="164" spans="7:7" x14ac:dyDescent="0.25">
      <c r="G164" s="8"/>
    </row>
    <row r="165" spans="7:7" x14ac:dyDescent="0.25">
      <c r="G165" s="8"/>
    </row>
    <row r="166" spans="7:7" x14ac:dyDescent="0.25">
      <c r="G166" s="8"/>
    </row>
    <row r="167" spans="7:7" x14ac:dyDescent="0.25">
      <c r="G167" s="8"/>
    </row>
    <row r="168" spans="7:7" x14ac:dyDescent="0.25">
      <c r="G168" s="8"/>
    </row>
    <row r="169" spans="7:7" x14ac:dyDescent="0.25">
      <c r="G169" s="8"/>
    </row>
    <row r="170" spans="7:7" x14ac:dyDescent="0.25">
      <c r="G170" s="8"/>
    </row>
    <row r="171" spans="7:7" x14ac:dyDescent="0.25">
      <c r="G171" s="8"/>
    </row>
    <row r="172" spans="7:7" x14ac:dyDescent="0.25">
      <c r="G172" s="8"/>
    </row>
    <row r="173" spans="7:7" x14ac:dyDescent="0.25">
      <c r="G173" s="8"/>
    </row>
    <row r="174" spans="7:7" x14ac:dyDescent="0.25">
      <c r="G174" s="8"/>
    </row>
    <row r="175" spans="7:7" x14ac:dyDescent="0.25">
      <c r="G175" s="8"/>
    </row>
    <row r="176" spans="7:7" x14ac:dyDescent="0.25">
      <c r="G176" s="8"/>
    </row>
    <row r="177" spans="7:7" x14ac:dyDescent="0.25">
      <c r="G177" s="8"/>
    </row>
    <row r="178" spans="7:7" x14ac:dyDescent="0.25">
      <c r="G178" s="8"/>
    </row>
    <row r="179" spans="7:7" x14ac:dyDescent="0.25">
      <c r="G179" s="8"/>
    </row>
    <row r="180" spans="7:7" x14ac:dyDescent="0.25">
      <c r="G180" s="8"/>
    </row>
    <row r="181" spans="7:7" x14ac:dyDescent="0.25">
      <c r="G181" s="8"/>
    </row>
    <row r="182" spans="7:7" x14ac:dyDescent="0.25">
      <c r="G182" s="8"/>
    </row>
    <row r="183" spans="7:7" x14ac:dyDescent="0.25">
      <c r="G183" s="8"/>
    </row>
    <row r="184" spans="7:7" x14ac:dyDescent="0.25">
      <c r="G184" s="8"/>
    </row>
    <row r="185" spans="7:7" x14ac:dyDescent="0.25">
      <c r="G185" s="8"/>
    </row>
    <row r="186" spans="7:7" x14ac:dyDescent="0.25">
      <c r="G186" s="8"/>
    </row>
    <row r="187" spans="7:7" x14ac:dyDescent="0.25">
      <c r="G187" s="8"/>
    </row>
    <row r="188" spans="7:7" x14ac:dyDescent="0.25">
      <c r="G188" s="8"/>
    </row>
    <row r="189" spans="7:7" x14ac:dyDescent="0.25">
      <c r="G189" s="8"/>
    </row>
    <row r="190" spans="7:7" x14ac:dyDescent="0.25">
      <c r="G190" s="8"/>
    </row>
    <row r="191" spans="7:7" x14ac:dyDescent="0.25">
      <c r="G191" s="8"/>
    </row>
    <row r="192" spans="7:7" x14ac:dyDescent="0.25">
      <c r="G192" s="8"/>
    </row>
    <row r="193" spans="7:7" x14ac:dyDescent="0.25">
      <c r="G193" s="8"/>
    </row>
    <row r="194" spans="7:7" x14ac:dyDescent="0.25">
      <c r="G194" s="8"/>
    </row>
    <row r="195" spans="7:7" x14ac:dyDescent="0.25">
      <c r="G195" s="8"/>
    </row>
    <row r="196" spans="7:7" x14ac:dyDescent="0.25">
      <c r="G196" s="8"/>
    </row>
    <row r="197" spans="7:7" x14ac:dyDescent="0.25">
      <c r="G197" s="8"/>
    </row>
    <row r="198" spans="7:7" x14ac:dyDescent="0.25">
      <c r="G198" s="8"/>
    </row>
    <row r="199" spans="7:7" x14ac:dyDescent="0.25">
      <c r="G199" s="8"/>
    </row>
    <row r="200" spans="7:7" x14ac:dyDescent="0.25">
      <c r="G200" s="8"/>
    </row>
    <row r="201" spans="7:7" x14ac:dyDescent="0.25">
      <c r="G201" s="8"/>
    </row>
    <row r="202" spans="7:7" x14ac:dyDescent="0.25">
      <c r="G202" s="8"/>
    </row>
    <row r="203" spans="7:7" x14ac:dyDescent="0.25">
      <c r="G203" s="8"/>
    </row>
    <row r="204" spans="7:7" x14ac:dyDescent="0.25">
      <c r="G204" s="8"/>
    </row>
    <row r="205" spans="7:7" x14ac:dyDescent="0.25">
      <c r="G205" s="8"/>
    </row>
    <row r="206" spans="7:7" x14ac:dyDescent="0.25">
      <c r="G206" s="8"/>
    </row>
    <row r="207" spans="7:7" x14ac:dyDescent="0.25">
      <c r="G207" s="8"/>
    </row>
    <row r="208" spans="7:7" x14ac:dyDescent="0.25">
      <c r="G208" s="8"/>
    </row>
    <row r="209" spans="7:7" x14ac:dyDescent="0.25">
      <c r="G209" s="8"/>
    </row>
    <row r="210" spans="7:7" x14ac:dyDescent="0.25">
      <c r="G210" s="8"/>
    </row>
    <row r="211" spans="7:7" x14ac:dyDescent="0.25">
      <c r="G211" s="8"/>
    </row>
    <row r="212" spans="7:7" x14ac:dyDescent="0.25">
      <c r="G212" s="8"/>
    </row>
    <row r="213" spans="7:7" x14ac:dyDescent="0.25">
      <c r="G213" s="8"/>
    </row>
    <row r="214" spans="7:7" x14ac:dyDescent="0.25">
      <c r="G214" s="8"/>
    </row>
    <row r="215" spans="7:7" x14ac:dyDescent="0.25">
      <c r="G215" s="8"/>
    </row>
    <row r="216" spans="7:7" x14ac:dyDescent="0.25">
      <c r="G216" s="8"/>
    </row>
    <row r="217" spans="7:7" x14ac:dyDescent="0.25">
      <c r="G217" s="8"/>
    </row>
    <row r="218" spans="7:7" x14ac:dyDescent="0.25">
      <c r="G218" s="8"/>
    </row>
    <row r="219" spans="7:7" x14ac:dyDescent="0.25">
      <c r="G219" s="8"/>
    </row>
    <row r="220" spans="7:7" x14ac:dyDescent="0.25">
      <c r="G220" s="8"/>
    </row>
    <row r="221" spans="7:7" x14ac:dyDescent="0.25">
      <c r="G221" s="8"/>
    </row>
    <row r="222" spans="7:7" x14ac:dyDescent="0.25">
      <c r="G222" s="8"/>
    </row>
    <row r="223" spans="7:7" x14ac:dyDescent="0.25">
      <c r="G223" s="8"/>
    </row>
    <row r="224" spans="7:7" x14ac:dyDescent="0.25">
      <c r="G224" s="8"/>
    </row>
    <row r="225" spans="7:7" x14ac:dyDescent="0.25">
      <c r="G225" s="8"/>
    </row>
    <row r="226" spans="7:7" x14ac:dyDescent="0.25">
      <c r="G226" s="8"/>
    </row>
    <row r="227" spans="7:7" x14ac:dyDescent="0.25">
      <c r="G227" s="8"/>
    </row>
    <row r="228" spans="7:7" x14ac:dyDescent="0.25">
      <c r="G228" s="8"/>
    </row>
    <row r="229" spans="7:7" x14ac:dyDescent="0.25">
      <c r="G229" s="8"/>
    </row>
    <row r="230" spans="7:7" x14ac:dyDescent="0.25">
      <c r="G230" s="8"/>
    </row>
    <row r="231" spans="7:7" x14ac:dyDescent="0.25">
      <c r="G231" s="8"/>
    </row>
    <row r="232" spans="7:7" x14ac:dyDescent="0.25">
      <c r="G232" s="8"/>
    </row>
    <row r="233" spans="7:7" x14ac:dyDescent="0.25">
      <c r="G233" s="8"/>
    </row>
    <row r="234" spans="7:7" x14ac:dyDescent="0.25">
      <c r="G234" s="8"/>
    </row>
    <row r="235" spans="7:7" x14ac:dyDescent="0.25">
      <c r="G235" s="8"/>
    </row>
    <row r="236" spans="7:7" x14ac:dyDescent="0.25">
      <c r="G236" s="8"/>
    </row>
    <row r="237" spans="7:7" x14ac:dyDescent="0.25">
      <c r="G237" s="8"/>
    </row>
    <row r="238" spans="7:7" x14ac:dyDescent="0.25">
      <c r="G238" s="8"/>
    </row>
    <row r="239" spans="7:7" x14ac:dyDescent="0.25">
      <c r="G239" s="8"/>
    </row>
    <row r="240" spans="7:7" x14ac:dyDescent="0.25">
      <c r="G240" s="8"/>
    </row>
    <row r="241" spans="7:7" x14ac:dyDescent="0.25">
      <c r="G241" s="8"/>
    </row>
    <row r="242" spans="7:7" x14ac:dyDescent="0.25">
      <c r="G242" s="8"/>
    </row>
    <row r="243" spans="7:7" x14ac:dyDescent="0.25">
      <c r="G243" s="8"/>
    </row>
    <row r="244" spans="7:7" x14ac:dyDescent="0.25">
      <c r="G244" s="8"/>
    </row>
    <row r="245" spans="7:7" x14ac:dyDescent="0.25">
      <c r="G245" s="8"/>
    </row>
    <row r="246" spans="7:7" x14ac:dyDescent="0.25">
      <c r="G246" s="8"/>
    </row>
    <row r="247" spans="7:7" x14ac:dyDescent="0.25">
      <c r="G247" s="8"/>
    </row>
    <row r="248" spans="7:7" x14ac:dyDescent="0.25">
      <c r="G248" s="8"/>
    </row>
    <row r="249" spans="7:7" x14ac:dyDescent="0.25">
      <c r="G249" s="8"/>
    </row>
    <row r="250" spans="7:7" x14ac:dyDescent="0.25">
      <c r="G250" s="8"/>
    </row>
    <row r="251" spans="7:7" x14ac:dyDescent="0.25">
      <c r="G251" s="8"/>
    </row>
    <row r="252" spans="7:7" x14ac:dyDescent="0.25">
      <c r="G252" s="8"/>
    </row>
    <row r="253" spans="7:7" x14ac:dyDescent="0.25">
      <c r="G253" s="8"/>
    </row>
    <row r="254" spans="7:7" x14ac:dyDescent="0.25">
      <c r="G254" s="8"/>
    </row>
    <row r="255" spans="7:7" x14ac:dyDescent="0.25">
      <c r="G255" s="8"/>
    </row>
    <row r="256" spans="7:7" x14ac:dyDescent="0.25">
      <c r="G256" s="8"/>
    </row>
    <row r="257" spans="7:7" x14ac:dyDescent="0.25">
      <c r="G257" s="8"/>
    </row>
    <row r="258" spans="7:7" x14ac:dyDescent="0.25">
      <c r="G258" s="8"/>
    </row>
    <row r="259" spans="7:7" x14ac:dyDescent="0.25">
      <c r="G259" s="8"/>
    </row>
    <row r="260" spans="7:7" x14ac:dyDescent="0.25">
      <c r="G260" s="8"/>
    </row>
    <row r="261" spans="7:7" x14ac:dyDescent="0.25">
      <c r="G261" s="8"/>
    </row>
    <row r="262" spans="7:7" x14ac:dyDescent="0.25">
      <c r="G262" s="8"/>
    </row>
    <row r="263" spans="7:7" x14ac:dyDescent="0.25">
      <c r="G263" s="8"/>
    </row>
    <row r="264" spans="7:7" x14ac:dyDescent="0.25">
      <c r="G264" s="8"/>
    </row>
    <row r="265" spans="7:7" x14ac:dyDescent="0.25">
      <c r="G265" s="8"/>
    </row>
    <row r="266" spans="7:7" x14ac:dyDescent="0.25">
      <c r="G266" s="8"/>
    </row>
    <row r="267" spans="7:7" x14ac:dyDescent="0.25">
      <c r="G267" s="8"/>
    </row>
    <row r="268" spans="7:7" x14ac:dyDescent="0.25">
      <c r="G268" s="8"/>
    </row>
    <row r="269" spans="7:7" x14ac:dyDescent="0.25">
      <c r="G269" s="8"/>
    </row>
    <row r="270" spans="7:7" x14ac:dyDescent="0.25">
      <c r="G270" s="8"/>
    </row>
    <row r="271" spans="7:7" x14ac:dyDescent="0.25">
      <c r="G271" s="8"/>
    </row>
    <row r="272" spans="7:7" x14ac:dyDescent="0.25">
      <c r="G272" s="8"/>
    </row>
    <row r="273" spans="7:7" x14ac:dyDescent="0.25">
      <c r="G273" s="8"/>
    </row>
    <row r="274" spans="7:7" x14ac:dyDescent="0.25">
      <c r="G274" s="8"/>
    </row>
    <row r="275" spans="7:7" x14ac:dyDescent="0.25">
      <c r="G275" s="8"/>
    </row>
    <row r="276" spans="7:7" x14ac:dyDescent="0.25">
      <c r="G276" s="8"/>
    </row>
    <row r="277" spans="7:7" x14ac:dyDescent="0.25">
      <c r="G277" s="8"/>
    </row>
    <row r="278" spans="7:7" x14ac:dyDescent="0.25">
      <c r="G278" s="8"/>
    </row>
    <row r="279" spans="7:7" x14ac:dyDescent="0.25">
      <c r="G279" s="8"/>
    </row>
    <row r="280" spans="7:7" x14ac:dyDescent="0.25">
      <c r="G280" s="8"/>
    </row>
    <row r="281" spans="7:7" x14ac:dyDescent="0.25">
      <c r="G281" s="8"/>
    </row>
    <row r="282" spans="7:7" x14ac:dyDescent="0.25">
      <c r="G282" s="8"/>
    </row>
    <row r="283" spans="7:7" x14ac:dyDescent="0.25">
      <c r="G283" s="8"/>
    </row>
    <row r="284" spans="7:7" x14ac:dyDescent="0.25">
      <c r="G284" s="8"/>
    </row>
    <row r="285" spans="7:7" x14ac:dyDescent="0.25">
      <c r="G285" s="8"/>
    </row>
    <row r="286" spans="7:7" x14ac:dyDescent="0.25">
      <c r="G286" s="8"/>
    </row>
    <row r="287" spans="7:7" x14ac:dyDescent="0.25">
      <c r="G287" s="8"/>
    </row>
    <row r="288" spans="7:7" x14ac:dyDescent="0.25">
      <c r="G288" s="8"/>
    </row>
    <row r="289" spans="7:7" x14ac:dyDescent="0.25">
      <c r="G289" s="8"/>
    </row>
    <row r="290" spans="7:7" x14ac:dyDescent="0.25">
      <c r="G290" s="8"/>
    </row>
    <row r="291" spans="7:7" x14ac:dyDescent="0.25">
      <c r="G291" s="8"/>
    </row>
    <row r="292" spans="7:7" x14ac:dyDescent="0.25">
      <c r="G292" s="8"/>
    </row>
    <row r="293" spans="7:7" x14ac:dyDescent="0.25">
      <c r="G293" s="8"/>
    </row>
    <row r="294" spans="7:7" x14ac:dyDescent="0.25">
      <c r="G294" s="8"/>
    </row>
    <row r="295" spans="7:7" x14ac:dyDescent="0.25">
      <c r="G295" s="8"/>
    </row>
    <row r="296" spans="7:7" x14ac:dyDescent="0.25">
      <c r="G296" s="8"/>
    </row>
    <row r="297" spans="7:7" x14ac:dyDescent="0.25">
      <c r="G297" s="8"/>
    </row>
    <row r="298" spans="7:7" x14ac:dyDescent="0.25">
      <c r="G298" s="8"/>
    </row>
    <row r="299" spans="7:7" x14ac:dyDescent="0.25">
      <c r="G299" s="8"/>
    </row>
    <row r="300" spans="7:7" x14ac:dyDescent="0.25">
      <c r="G300" s="8"/>
    </row>
    <row r="301" spans="7:7" x14ac:dyDescent="0.25">
      <c r="G301" s="8"/>
    </row>
    <row r="302" spans="7:7" x14ac:dyDescent="0.25">
      <c r="G302" s="8"/>
    </row>
    <row r="303" spans="7:7" x14ac:dyDescent="0.25">
      <c r="G303" s="8"/>
    </row>
    <row r="304" spans="7:7" x14ac:dyDescent="0.25">
      <c r="G304" s="8"/>
    </row>
  </sheetData>
  <mergeCells count="46">
    <mergeCell ref="EE7:EK7"/>
    <mergeCell ref="EL7:ER7"/>
    <mergeCell ref="ES7:EY7"/>
    <mergeCell ref="EZ7:FF7"/>
    <mergeCell ref="FG7:FM7"/>
    <mergeCell ref="CV7:DB7"/>
    <mergeCell ref="DC7:DI7"/>
    <mergeCell ref="DJ7:DP7"/>
    <mergeCell ref="DQ7:DW7"/>
    <mergeCell ref="DX7:ED7"/>
    <mergeCell ref="ES6:EY6"/>
    <mergeCell ref="EZ6:FF6"/>
    <mergeCell ref="FG6:FM6"/>
    <mergeCell ref="I7:O7"/>
    <mergeCell ref="P7:V7"/>
    <mergeCell ref="W7:AC7"/>
    <mergeCell ref="AD7:AJ7"/>
    <mergeCell ref="AK7:AQ7"/>
    <mergeCell ref="AR7:AX7"/>
    <mergeCell ref="AY7:BE7"/>
    <mergeCell ref="BF7:BL7"/>
    <mergeCell ref="BM7:BS7"/>
    <mergeCell ref="BT7:BZ7"/>
    <mergeCell ref="CA7:CG7"/>
    <mergeCell ref="CH7:CN7"/>
    <mergeCell ref="CO7:CU7"/>
    <mergeCell ref="DJ6:DP6"/>
    <mergeCell ref="DQ6:DW6"/>
    <mergeCell ref="DX6:ED6"/>
    <mergeCell ref="EE6:EK6"/>
    <mergeCell ref="EL6:ER6"/>
    <mergeCell ref="CA6:CG6"/>
    <mergeCell ref="CH6:CN6"/>
    <mergeCell ref="CO6:CU6"/>
    <mergeCell ref="CV6:DB6"/>
    <mergeCell ref="DC6:DI6"/>
    <mergeCell ref="AR6:AX6"/>
    <mergeCell ref="AY6:BE6"/>
    <mergeCell ref="BF6:BL6"/>
    <mergeCell ref="BM6:BS6"/>
    <mergeCell ref="BT6:BZ6"/>
    <mergeCell ref="I6:O6"/>
    <mergeCell ref="P6:V6"/>
    <mergeCell ref="W6:AC6"/>
    <mergeCell ref="AD6:AJ6"/>
    <mergeCell ref="AK6:AQ6"/>
  </mergeCells>
  <conditionalFormatting sqref="H38:H43">
    <cfRule type="dataBar" priority="2">
      <dataBar>
        <cfvo type="num" val="0"/>
        <cfvo type="num" val="1"/>
        <color rgb="FFEF9C29"/>
      </dataBar>
      <extLst>
        <ext xmlns:x14="http://schemas.microsoft.com/office/spreadsheetml/2009/9/main" uri="{B025F937-C7B1-47D3-B67F-A62EFF666E3E}">
          <x14:id>{29FCCFC1-6FCD-46C6-8257-A78627CE8C20}</x14:id>
        </ext>
      </extLst>
    </cfRule>
  </conditionalFormatting>
  <conditionalFormatting sqref="H37">
    <cfRule type="dataBar" priority="3">
      <dataBar>
        <cfvo type="num" val="0"/>
        <cfvo type="num" val="1"/>
        <color rgb="FF638EC6"/>
      </dataBar>
      <extLst>
        <ext xmlns:x14="http://schemas.microsoft.com/office/spreadsheetml/2009/9/main" uri="{B025F937-C7B1-47D3-B67F-A62EFF666E3E}">
          <x14:id>{3063CFA4-FAB1-449A-A04E-78B86C65A73C}</x14:id>
        </ext>
      </extLst>
    </cfRule>
  </conditionalFormatting>
  <conditionalFormatting sqref="H35:H36">
    <cfRule type="dataBar" priority="4">
      <dataBar>
        <cfvo type="num" val="0"/>
        <cfvo type="num" val="1"/>
        <color rgb="FFEF9C29"/>
      </dataBar>
      <extLst>
        <ext xmlns:x14="http://schemas.microsoft.com/office/spreadsheetml/2009/9/main" uri="{B025F937-C7B1-47D3-B67F-A62EFF666E3E}">
          <x14:id>{24598100-F398-4EA3-9E00-80F11FBD4320}</x14:id>
        </ext>
      </extLst>
    </cfRule>
  </conditionalFormatting>
  <conditionalFormatting sqref="CL44:CL114 I28:CL43 I44:CK114">
    <cfRule type="expression" dxfId="8" priority="5">
      <formula>AND($E28&lt;=I$8,ROUNDDOWN(($G28-$E28+1)*$H28,0)+$E28-1&gt;=I$8)</formula>
    </cfRule>
    <cfRule type="expression" dxfId="7" priority="6">
      <formula>AND(NOT(ISBLANK($E28)),$E28&lt;=I$8,$G28&gt;=I$8)</formula>
    </cfRule>
  </conditionalFormatting>
  <conditionalFormatting sqref="H32">
    <cfRule type="dataBar" priority="7">
      <dataBar>
        <cfvo type="num" val="0"/>
        <cfvo type="num" val="1"/>
        <color rgb="FF638EC6"/>
      </dataBar>
      <extLst>
        <ext xmlns:x14="http://schemas.microsoft.com/office/spreadsheetml/2009/9/main" uri="{B025F937-C7B1-47D3-B67F-A62EFF666E3E}">
          <x14:id>{784E8326-43CD-48B8-B7BF-D46FBB5F2558}</x14:id>
        </ext>
      </extLst>
    </cfRule>
  </conditionalFormatting>
  <conditionalFormatting sqref="H33:H34">
    <cfRule type="dataBar" priority="8">
      <dataBar>
        <cfvo type="num" val="0"/>
        <cfvo type="num" val="1"/>
        <color rgb="FFEF9C29"/>
      </dataBar>
      <extLst>
        <ext xmlns:x14="http://schemas.microsoft.com/office/spreadsheetml/2009/9/main" uri="{B025F937-C7B1-47D3-B67F-A62EFF666E3E}">
          <x14:id>{10F2B0FC-D485-4244-B05C-4C2F66C95786}</x14:id>
        </ext>
      </extLst>
    </cfRule>
  </conditionalFormatting>
  <conditionalFormatting sqref="I11:FM27">
    <cfRule type="expression" dxfId="6" priority="9">
      <formula>AND(#REF!&lt;=I$8,ROUNDDOWN((#REF!-#REF!+1)*#REF!,0)+#REF!-1&gt;=I$8)</formula>
    </cfRule>
    <cfRule type="expression" dxfId="5" priority="10">
      <formula>I$8=TODAY()</formula>
    </cfRule>
  </conditionalFormatting>
  <conditionalFormatting sqref="I11:CL27">
    <cfRule type="expression" dxfId="4" priority="11">
      <formula>AND(NOT(ISBLANK(#REF!)),#REF!&lt;=I$8,#REF!&gt;=I$8)</formula>
    </cfRule>
  </conditionalFormatting>
  <conditionalFormatting sqref="I8:FM9">
    <cfRule type="expression" dxfId="3" priority="12">
      <formula>I$8=TODAY()</formula>
    </cfRule>
  </conditionalFormatting>
  <conditionalFormatting sqref="I10:CL10">
    <cfRule type="expression" dxfId="2" priority="13">
      <formula>AND($E10&lt;=I$8,ROUNDDOWN(($G10-$E10+1)*$H10,0)+$E10-1&gt;=I$8)</formula>
    </cfRule>
    <cfRule type="expression" dxfId="1" priority="14">
      <formula>AND(NOT(ISBLANK($E10)),$E10&lt;=I$8,$G10&gt;=I$8)</formula>
    </cfRule>
  </conditionalFormatting>
  <conditionalFormatting sqref="H10 H13 H23 H28 H18">
    <cfRule type="dataBar" priority="15">
      <dataBar>
        <cfvo type="num" val="0"/>
        <cfvo type="num" val="1"/>
        <color rgb="FF638EC6"/>
      </dataBar>
      <extLst>
        <ext xmlns:x14="http://schemas.microsoft.com/office/spreadsheetml/2009/9/main" uri="{B025F937-C7B1-47D3-B67F-A62EFF666E3E}">
          <x14:id>{C31DD8A6-82B8-45B9-A6FE-4F26C5FCEA92}</x14:id>
        </ext>
      </extLst>
    </cfRule>
  </conditionalFormatting>
  <conditionalFormatting sqref="H19:H22 H14:H17 H11:H12 H24:H27 H29:H31">
    <cfRule type="dataBar" priority="16">
      <dataBar>
        <cfvo type="num" val="0"/>
        <cfvo type="num" val="1"/>
        <color rgb="FFEF9C29"/>
      </dataBar>
      <extLst>
        <ext xmlns:x14="http://schemas.microsoft.com/office/spreadsheetml/2009/9/main" uri="{B025F937-C7B1-47D3-B67F-A62EFF666E3E}">
          <x14:id>{E66B1672-6A11-479F-B5DB-C86FCF942C71}</x14:id>
        </ext>
      </extLst>
    </cfRule>
  </conditionalFormatting>
  <conditionalFormatting sqref="I10:CT10 I8:FM9 CU10:FM27">
    <cfRule type="expression" dxfId="0" priority="17">
      <formula>I$8=TODAY()</formula>
    </cfRule>
  </conditionalFormatting>
  <pageMargins left="0.7" right="0.7" top="0.78749999999999998" bottom="0.78749999999999998" header="0.511811023622047" footer="0.511811023622047"/>
  <pageSetup paperSize="9" orientation="portrait" horizontalDpi="300" verticalDpi="300" r:id="rId1"/>
  <extLst>
    <ext xmlns:x14="http://schemas.microsoft.com/office/spreadsheetml/2009/9/main" uri="{78C0D931-6437-407d-A8EE-F0AAD7539E65}">
      <x14:conditionalFormattings>
        <x14:conditionalFormatting xmlns:xm="http://schemas.microsoft.com/office/excel/2006/main">
          <x14:cfRule type="dataBar" id="{29FCCFC1-6FCD-46C6-8257-A78627CE8C20}">
            <x14:dataBar>
              <x14:cfvo type="num">
                <xm:f>0</xm:f>
              </x14:cfvo>
              <x14:cfvo type="num">
                <xm:f>1</xm:f>
              </x14:cfvo>
              <x14:negativeFillColor rgb="FFFF0000"/>
              <x14:axisColor rgb="FF000000"/>
            </x14:dataBar>
          </x14:cfRule>
          <xm:sqref>H38:H43</xm:sqref>
        </x14:conditionalFormatting>
        <x14:conditionalFormatting xmlns:xm="http://schemas.microsoft.com/office/excel/2006/main">
          <x14:cfRule type="dataBar" id="{3063CFA4-FAB1-449A-A04E-78B86C65A73C}">
            <x14:dataBar>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24598100-F398-4EA3-9E00-80F11FBD4320}">
            <x14:dataBar>
              <x14:cfvo type="num">
                <xm:f>0</xm:f>
              </x14:cfvo>
              <x14:cfvo type="num">
                <xm:f>1</xm:f>
              </x14:cfvo>
              <x14:negativeFillColor rgb="FFFF0000"/>
              <x14:axisColor rgb="FF000000"/>
            </x14:dataBar>
          </x14:cfRule>
          <xm:sqref>H35:H36</xm:sqref>
        </x14:conditionalFormatting>
        <x14:conditionalFormatting xmlns:xm="http://schemas.microsoft.com/office/excel/2006/main">
          <x14:cfRule type="dataBar" id="{784E8326-43CD-48B8-B7BF-D46FBB5F2558}">
            <x14:dataBar>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10F2B0FC-D485-4244-B05C-4C2F66C95786}">
            <x14:dataBar>
              <x14:cfvo type="num">
                <xm:f>0</xm:f>
              </x14:cfvo>
              <x14:cfvo type="num">
                <xm:f>1</xm:f>
              </x14:cfvo>
              <x14:negativeFillColor rgb="FFFF0000"/>
              <x14:axisColor rgb="FF000000"/>
            </x14:dataBar>
          </x14:cfRule>
          <xm:sqref>H33:H34</xm:sqref>
        </x14:conditionalFormatting>
        <x14:conditionalFormatting xmlns:xm="http://schemas.microsoft.com/office/excel/2006/main">
          <x14:cfRule type="dataBar" id="{C31DD8A6-82B8-45B9-A6FE-4F26C5FCEA92}">
            <x14:dataBar>
              <x14:cfvo type="num">
                <xm:f>0</xm:f>
              </x14:cfvo>
              <x14:cfvo type="num">
                <xm:f>1</xm:f>
              </x14:cfvo>
              <x14:negativeFillColor rgb="FFFF0000"/>
              <x14:axisColor rgb="FF000000"/>
            </x14:dataBar>
          </x14:cfRule>
          <xm:sqref>H10 H13 H23 H28 H18</xm:sqref>
        </x14:conditionalFormatting>
        <x14:conditionalFormatting xmlns:xm="http://schemas.microsoft.com/office/excel/2006/main">
          <x14:cfRule type="dataBar" id="{E66B1672-6A11-479F-B5DB-C86FCF942C71}">
            <x14:dataBar>
              <x14:cfvo type="num">
                <xm:f>0</xm:f>
              </x14:cfvo>
              <x14:cfvo type="num">
                <xm:f>1</xm:f>
              </x14:cfvo>
              <x14:negativeFillColor rgb="FFFF0000"/>
              <x14:axisColor rgb="FF000000"/>
            </x14:dataBar>
          </x14:cfRule>
          <xm:sqref>H19:H22 H14:H17 H11:H12 H24:H27 H29:H31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'Basic Data'!$D$5:$D$100</xm:f>
          </x14:formula1>
          <x14:formula2>
            <xm:f>0</xm:f>
          </x14:formula2>
          <xm:sqref>C11:C12 C14:C17 C19:C22 C24:C27 C29:C31 C33:C36 C38:C43</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101</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Basic Data</vt:lpstr>
      <vt:lpstr>Project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Christian Botta</dc:creator>
  <dc:description/>
  <cp:lastModifiedBy>Yasmine Bououden</cp:lastModifiedBy>
  <cp:revision>28</cp:revision>
  <dcterms:created xsi:type="dcterms:W3CDTF">2019-09-23T10:49:50Z</dcterms:created>
  <dcterms:modified xsi:type="dcterms:W3CDTF">2025-06-04T14:35:39Z</dcterms:modified>
  <dc:language>fr-FR</dc:language>
</cp:coreProperties>
</file>